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9f237267-cf64-43e2-9820-4cb8bbe9716a\"/>
    </mc:Choice>
  </mc:AlternateContent>
  <xr:revisionPtr revIDLastSave="0" documentId="8_{584688B9-CF2C-4EAD-B8E7-275B7A7FF95B}" xr6:coauthVersionLast="47" xr6:coauthVersionMax="47" xr10:uidLastSave="{00000000-0000-0000-0000-000000000000}"/>
  <bookViews>
    <workbookView xWindow="-120" yWindow="-120" windowWidth="19440" windowHeight="10440"/>
  </bookViews>
  <sheets>
    <sheet name="Summary" sheetId="12" r:id="rId1"/>
    <sheet name="Definitions" sheetId="9" r:id="rId2"/>
    <sheet name="FY10" sheetId="2" r:id="rId3"/>
    <sheet name="FY11" sheetId="5" r:id="rId4"/>
    <sheet name="FY12" sheetId="3" r:id="rId5"/>
    <sheet name="FY13" sheetId="6" r:id="rId6"/>
    <sheet name="FY14" sheetId="1" r:id="rId7"/>
    <sheet name="FY15" sheetId="7" r:id="rId8"/>
    <sheet name="FY16" sheetId="13" r:id="rId9"/>
    <sheet name="FY17" sheetId="14" r:id="rId10"/>
    <sheet name="FY18" sheetId="15" r:id="rId11"/>
    <sheet name="FY 19" sheetId="1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2" l="1"/>
  <c r="E9" i="12"/>
  <c r="E8" i="12"/>
  <c r="E6" i="12"/>
</calcChain>
</file>

<file path=xl/sharedStrings.xml><?xml version="1.0" encoding="utf-8"?>
<sst xmlns="http://schemas.openxmlformats.org/spreadsheetml/2006/main" count="1303" uniqueCount="621">
  <si>
    <t>OPEID</t>
  </si>
  <si>
    <t>SCH_NAME</t>
  </si>
  <si>
    <t>CTY_NAME</t>
  </si>
  <si>
    <t>ST_CD</t>
  </si>
  <si>
    <t>SCH_TYPE</t>
  </si>
  <si>
    <t>REASON_REFER_DESC</t>
  </si>
  <si>
    <t>IMPOSED_FINE_AMT</t>
  </si>
  <si>
    <t>OUTCOME_DT</t>
  </si>
  <si>
    <t>GA</t>
  </si>
  <si>
    <t>Prop</t>
  </si>
  <si>
    <t>MO</t>
  </si>
  <si>
    <t>Priv</t>
  </si>
  <si>
    <t>TX</t>
  </si>
  <si>
    <t>SC</t>
  </si>
  <si>
    <t>Pub</t>
  </si>
  <si>
    <t>Las Vegas</t>
  </si>
  <si>
    <t>NV</t>
  </si>
  <si>
    <t>CO</t>
  </si>
  <si>
    <t>NY</t>
  </si>
  <si>
    <t>CA</t>
  </si>
  <si>
    <t>PR</t>
  </si>
  <si>
    <t>FL</t>
  </si>
  <si>
    <t>Alexander Academy</t>
  </si>
  <si>
    <t>Lunenburg</t>
  </si>
  <si>
    <t>MA</t>
  </si>
  <si>
    <t>IPEDS Nonsubmission</t>
  </si>
  <si>
    <t>IL</t>
  </si>
  <si>
    <t>American Business &amp; Technology University</t>
  </si>
  <si>
    <t>Saint Joseph</t>
  </si>
  <si>
    <t>American College of Hairstyling-Cedar Rapids</t>
  </si>
  <si>
    <t>Cedar Rapids</t>
  </si>
  <si>
    <t>IA</t>
  </si>
  <si>
    <t>American Health Institute</t>
  </si>
  <si>
    <t>Port Richey</t>
  </si>
  <si>
    <t>American Institute of Medical Sonography</t>
  </si>
  <si>
    <t>West Palm Beach</t>
  </si>
  <si>
    <t>NC</t>
  </si>
  <si>
    <t>Los Angeles</t>
  </si>
  <si>
    <t>San Diego</t>
  </si>
  <si>
    <t>VA</t>
  </si>
  <si>
    <t>KY</t>
  </si>
  <si>
    <t>Bennett Career Institute</t>
  </si>
  <si>
    <t>Washington</t>
  </si>
  <si>
    <t>DC</t>
  </si>
  <si>
    <t>Incentive Compensation</t>
  </si>
  <si>
    <t>Atlanta</t>
  </si>
  <si>
    <t>Boulder College of Massage Therapy</t>
  </si>
  <si>
    <t>Boulder</t>
  </si>
  <si>
    <t>Fiduciary Duty Failure</t>
  </si>
  <si>
    <t>Chicago</t>
  </si>
  <si>
    <t>New York</t>
  </si>
  <si>
    <t>Carver Bible College</t>
  </si>
  <si>
    <t>KS</t>
  </si>
  <si>
    <t>Commonwealth of Puerto Rico Department of Education</t>
  </si>
  <si>
    <t>Hato Rey</t>
  </si>
  <si>
    <t>Cornell College</t>
  </si>
  <si>
    <t>Mount Vernon</t>
  </si>
  <si>
    <t>Campus Security</t>
  </si>
  <si>
    <t>Crystal Lake</t>
  </si>
  <si>
    <t>Delaware State University</t>
  </si>
  <si>
    <t>Dover</t>
  </si>
  <si>
    <t>DE</t>
  </si>
  <si>
    <t>Dongguk University Los Angeles</t>
  </si>
  <si>
    <t>First Institute</t>
  </si>
  <si>
    <t>Franklin Beauty School</t>
  </si>
  <si>
    <t xml:space="preserve"> Houston</t>
  </si>
  <si>
    <t>OR</t>
  </si>
  <si>
    <t>Larry's Barber College</t>
  </si>
  <si>
    <t>Liberty University</t>
  </si>
  <si>
    <t>Lynchburg</t>
  </si>
  <si>
    <t>Lowell Academy Hair Styling Institute</t>
  </si>
  <si>
    <t>Lowell</t>
  </si>
  <si>
    <t>MCI Institute of Technology</t>
  </si>
  <si>
    <t>Mid-Atlantic Christian University</t>
  </si>
  <si>
    <t>Elizabeth City</t>
  </si>
  <si>
    <t>Midlands Technical College</t>
  </si>
  <si>
    <t>West Columbia</t>
  </si>
  <si>
    <t>Mount Mercy University</t>
  </si>
  <si>
    <t>NE</t>
  </si>
  <si>
    <t>Old Town Barber  College</t>
  </si>
  <si>
    <t>Wichita</t>
  </si>
  <si>
    <t>Oregon State University</t>
  </si>
  <si>
    <t>Corvallis</t>
  </si>
  <si>
    <t>PCI College</t>
  </si>
  <si>
    <t>Cerritos</t>
  </si>
  <si>
    <t>Regency School of Hair Design</t>
  </si>
  <si>
    <t>Prestonsburg</t>
  </si>
  <si>
    <t>Relay Graduate School of Education</t>
  </si>
  <si>
    <t>Salina Area Technical College</t>
  </si>
  <si>
    <t>Salina</t>
  </si>
  <si>
    <t>San Diego College</t>
  </si>
  <si>
    <t>Simmons Institute of Funeral Service</t>
  </si>
  <si>
    <t>Syracuse</t>
  </si>
  <si>
    <t>Sterling College</t>
  </si>
  <si>
    <t>Sterling</t>
  </si>
  <si>
    <t>University of Nebraska - Kearney</t>
  </si>
  <si>
    <t>Kearney</t>
  </si>
  <si>
    <t>Virginia Polytechnic Institute &amp; State University</t>
  </si>
  <si>
    <t>Blacksburg</t>
  </si>
  <si>
    <t>Wards Corner Beauty Academy</t>
  </si>
  <si>
    <t>Norfolk</t>
  </si>
  <si>
    <t>School</t>
  </si>
  <si>
    <t>City</t>
  </si>
  <si>
    <t>State</t>
  </si>
  <si>
    <t>School Type</t>
  </si>
  <si>
    <t>Referral Reason</t>
  </si>
  <si>
    <t>Schreiner University</t>
  </si>
  <si>
    <t>Kerrville</t>
  </si>
  <si>
    <t>Paul Smith's College of Arts &amp; Sciences</t>
  </si>
  <si>
    <t>Paul Smiths</t>
  </si>
  <si>
    <t>Demarge College</t>
  </si>
  <si>
    <t>Oklahoma City</t>
  </si>
  <si>
    <t>OK</t>
  </si>
  <si>
    <t>Fraud</t>
  </si>
  <si>
    <t>Denmark Technical College</t>
  </si>
  <si>
    <t>Denmark</t>
  </si>
  <si>
    <t>ATI Career Training Center</t>
  </si>
  <si>
    <t>Dallas</t>
  </si>
  <si>
    <t>European Massage Therapy School</t>
  </si>
  <si>
    <t>Skokie</t>
  </si>
  <si>
    <t>Four-D College</t>
  </si>
  <si>
    <t>Colton</t>
  </si>
  <si>
    <t>Hacienda La Puente Adult Education</t>
  </si>
  <si>
    <t>La Puente</t>
  </si>
  <si>
    <t>Harley's Beauty &amp; Barber Career Institute</t>
  </si>
  <si>
    <t>Columbia</t>
  </si>
  <si>
    <t>NTMA Training Centers of Southern California</t>
  </si>
  <si>
    <t>Santa Fe Springs</t>
  </si>
  <si>
    <t>Wright Beauty Academy</t>
  </si>
  <si>
    <t>Battle Creek</t>
  </si>
  <si>
    <t>MI</t>
  </si>
  <si>
    <t>HDS Truck Driving Institute</t>
  </si>
  <si>
    <t>Tucson</t>
  </si>
  <si>
    <t>AZ</t>
  </si>
  <si>
    <t>American Commercial College</t>
  </si>
  <si>
    <t>Lubbock</t>
  </si>
  <si>
    <t>Buchanan Beauty College</t>
  </si>
  <si>
    <t>Shelbyville</t>
  </si>
  <si>
    <t>TN</t>
  </si>
  <si>
    <t>Career Academy of Beauty</t>
  </si>
  <si>
    <t>Garden Grove</t>
  </si>
  <si>
    <t>Charles of Italy Beauty College</t>
  </si>
  <si>
    <t>Lake Havasu City</t>
  </si>
  <si>
    <t>Cuttin' Up Beauty Academy</t>
  </si>
  <si>
    <t>Denver</t>
  </si>
  <si>
    <t>Cutting Edge Hairstyling Academy</t>
  </si>
  <si>
    <t>Kansas City</t>
  </si>
  <si>
    <t>International City Beauty College</t>
  </si>
  <si>
    <t>Warner Robins</t>
  </si>
  <si>
    <t>Marymount California University</t>
  </si>
  <si>
    <t>Rancho Palos Verdes</t>
  </si>
  <si>
    <t>Sinte Gleska University</t>
  </si>
  <si>
    <t>Mission</t>
  </si>
  <si>
    <t>SD</t>
  </si>
  <si>
    <t>Spartan College of Aeronautics &amp; Technology</t>
  </si>
  <si>
    <t>Inglewood</t>
  </si>
  <si>
    <t>TONI &amp; GUY Hairdressing Academy</t>
  </si>
  <si>
    <t>Shoreline</t>
  </si>
  <si>
    <t>WA</t>
  </si>
  <si>
    <t>California College of Vocational Careers</t>
  </si>
  <si>
    <t>Bakersfield</t>
  </si>
  <si>
    <t>Life Chiropractic College West</t>
  </si>
  <si>
    <t>Hayward</t>
  </si>
  <si>
    <t>Ohio State College of Barber Styling</t>
  </si>
  <si>
    <t>Columbus</t>
  </si>
  <si>
    <t>OH</t>
  </si>
  <si>
    <t>D-Jay's School of Beauty, Arts &amp; Sciences</t>
  </si>
  <si>
    <t>Baton Rouge</t>
  </si>
  <si>
    <t>LA</t>
  </si>
  <si>
    <t>Florida Institute of Ultrasound</t>
  </si>
  <si>
    <t>Pensacola</t>
  </si>
  <si>
    <t>Gerber Akron Beauty School</t>
  </si>
  <si>
    <t>Akron</t>
  </si>
  <si>
    <t>Southeastern Beauty Schools</t>
  </si>
  <si>
    <t>Universal Career Community College</t>
  </si>
  <si>
    <t>Santurce</t>
  </si>
  <si>
    <t>Aims Academy</t>
  </si>
  <si>
    <t>Carrollton</t>
  </si>
  <si>
    <t>Reformed Presbyterian Theological Seminary</t>
  </si>
  <si>
    <t>Pittsburgh</t>
  </si>
  <si>
    <t>PA</t>
  </si>
  <si>
    <t>Arkansas Beauty College</t>
  </si>
  <si>
    <t>Russellville</t>
  </si>
  <si>
    <t>AR</t>
  </si>
  <si>
    <t xml:space="preserve">Aveda Institute </t>
  </si>
  <si>
    <t>Choffin Career &amp; Technical Center</t>
  </si>
  <si>
    <t>Youngstown</t>
  </si>
  <si>
    <t>Lubbock Hair Academy</t>
  </si>
  <si>
    <t>Selma University</t>
  </si>
  <si>
    <t>Selma</t>
  </si>
  <si>
    <t>AL</t>
  </si>
  <si>
    <t>eClips School of Cosmetology and Barbering</t>
  </si>
  <si>
    <t>Cape Girardeau</t>
  </si>
  <si>
    <t>Jay's Technical Institute</t>
  </si>
  <si>
    <t>Houston</t>
  </si>
  <si>
    <t>Mountain State College</t>
  </si>
  <si>
    <t>Parkersburg</t>
  </si>
  <si>
    <t>WV</t>
  </si>
  <si>
    <t>Fayetteville Beauty College</t>
  </si>
  <si>
    <t>Fayetteville</t>
  </si>
  <si>
    <t>M.J. Murphy Beauty College of Mount Pleasant</t>
  </si>
  <si>
    <t>Mount Pleasant</t>
  </si>
  <si>
    <t>John D. Rockefeller IV Career Center</t>
  </si>
  <si>
    <t>New Cumberland</t>
  </si>
  <si>
    <t>Arkansas College of Barbering &amp; Hair Design</t>
  </si>
  <si>
    <t>North Little Rock</t>
  </si>
  <si>
    <t>Long Island College Hospital - School of Nursing</t>
  </si>
  <si>
    <t>Brooklyn</t>
  </si>
  <si>
    <t>Pacific Coast Trade School</t>
  </si>
  <si>
    <t>Oxnard</t>
  </si>
  <si>
    <t>ImageWorks Academy of Hair Design</t>
  </si>
  <si>
    <t>Spanish Fork</t>
  </si>
  <si>
    <t>UT</t>
  </si>
  <si>
    <t>Houston's Training and Education Center (H-TEC)</t>
  </si>
  <si>
    <t>Luther Seminary</t>
  </si>
  <si>
    <t>St Paul</t>
  </si>
  <si>
    <t>MN</t>
  </si>
  <si>
    <t>Memphis Institute of Barbering</t>
  </si>
  <si>
    <t>Memphis</t>
  </si>
  <si>
    <t>Tint School of Makeup &amp; Cosmetology</t>
  </si>
  <si>
    <t>Paris Beauty College</t>
  </si>
  <si>
    <t>Concord</t>
  </si>
  <si>
    <t>Leon Studio One School of Hair Design &amp; Career Training Center</t>
  </si>
  <si>
    <t>Williamsville</t>
  </si>
  <si>
    <t>Bell Mar Beauty College</t>
  </si>
  <si>
    <t>Cicero</t>
  </si>
  <si>
    <t>Ascension College</t>
  </si>
  <si>
    <t>Gonzales</t>
  </si>
  <si>
    <t>LOC Nonsubmission</t>
  </si>
  <si>
    <t>University of Phoenix</t>
  </si>
  <si>
    <t>Tempe</t>
  </si>
  <si>
    <t>Qui Tam</t>
  </si>
  <si>
    <t>Joffrey Ballet School, American Ballet Center</t>
  </si>
  <si>
    <t>Audit - Late/Missing</t>
  </si>
  <si>
    <t>Notre Dame College of Ohio</t>
  </si>
  <si>
    <t>South Euclid</t>
  </si>
  <si>
    <t>Tarleton State University</t>
  </si>
  <si>
    <t>Stephenville</t>
  </si>
  <si>
    <t>University of Vermont and State Agricultural College</t>
  </si>
  <si>
    <t>Burlington</t>
  </si>
  <si>
    <t>VT</t>
  </si>
  <si>
    <t>Wesley College</t>
  </si>
  <si>
    <t>Washington State University</t>
  </si>
  <si>
    <t>Pullman</t>
  </si>
  <si>
    <t>University of Northern Iowa</t>
  </si>
  <si>
    <t>Cedar Falls</t>
  </si>
  <si>
    <t>Yale University</t>
  </si>
  <si>
    <t>New Haven</t>
  </si>
  <si>
    <t>CT</t>
  </si>
  <si>
    <t>University of North Dakota</t>
  </si>
  <si>
    <t>Grand Forks</t>
  </si>
  <si>
    <t>ND</t>
  </si>
  <si>
    <t>University of Texas at Arlington</t>
  </si>
  <si>
    <t>Arlington</t>
  </si>
  <si>
    <t>Dominican College of Blauvelt</t>
  </si>
  <si>
    <t>Orangeburg</t>
  </si>
  <si>
    <t>Elmira Business Institute</t>
  </si>
  <si>
    <t>Elmira</t>
  </si>
  <si>
    <t>Grand Canyon University</t>
  </si>
  <si>
    <t>Phoenix</t>
  </si>
  <si>
    <t>Charles Stewart Mott Community College</t>
  </si>
  <si>
    <t>Flint</t>
  </si>
  <si>
    <t>Ineligible Location</t>
  </si>
  <si>
    <t>InfoTech Career College</t>
  </si>
  <si>
    <t>Paramount</t>
  </si>
  <si>
    <t>Upper Cape Cod Regional Technical School</t>
  </si>
  <si>
    <t>Bourne</t>
  </si>
  <si>
    <t>Texas County Technical Institute</t>
  </si>
  <si>
    <t>Valley Grande Institute for Academic Studies</t>
  </si>
  <si>
    <t>Weslaco</t>
  </si>
  <si>
    <t>Chicago State University</t>
  </si>
  <si>
    <t>Hi-Tech The School of Cosmetology</t>
  </si>
  <si>
    <t>Miami</t>
  </si>
  <si>
    <t>Appalachian Beauty School</t>
  </si>
  <si>
    <t>South Williamson</t>
  </si>
  <si>
    <t>CC's Cosmetology College</t>
  </si>
  <si>
    <t>Tulsa</t>
  </si>
  <si>
    <t>Paul Mitchell The School - Esani</t>
  </si>
  <si>
    <t>Roswell</t>
  </si>
  <si>
    <t>Academy of Natural Therapy</t>
  </si>
  <si>
    <t>Greeley</t>
  </si>
  <si>
    <t>Pat Wilson's Beauty College</t>
  </si>
  <si>
    <t>Henderson</t>
  </si>
  <si>
    <t>International Renowned Beauty Academy</t>
  </si>
  <si>
    <t>Fort Worth</t>
  </si>
  <si>
    <t>Premier Hair Academy</t>
  </si>
  <si>
    <t>West Valley City</t>
  </si>
  <si>
    <t>Savannah School of Massage Therapy Training</t>
  </si>
  <si>
    <t>Savannah</t>
  </si>
  <si>
    <t>Christian Life College</t>
  </si>
  <si>
    <t>Mount Prospect</t>
  </si>
  <si>
    <t>Alden's School of Cosmetology</t>
  </si>
  <si>
    <t>Baker</t>
  </si>
  <si>
    <t>Total International Career Institute</t>
  </si>
  <si>
    <t>Hialeah</t>
  </si>
  <si>
    <t>Salon Professional Academy of Elgin (The)</t>
  </si>
  <si>
    <t>Elgin</t>
  </si>
  <si>
    <t>Plaza Beauty School</t>
  </si>
  <si>
    <t>David Demuth Institute of Cosmetology</t>
  </si>
  <si>
    <t>Richmond</t>
  </si>
  <si>
    <t>IN</t>
  </si>
  <si>
    <t>GUTI, The Premier Beauty and Wellness Academy</t>
  </si>
  <si>
    <t>Bradenton</t>
  </si>
  <si>
    <t>Dickinson State University</t>
  </si>
  <si>
    <t>Dickinson</t>
  </si>
  <si>
    <t>Baker College</t>
  </si>
  <si>
    <t>Location Reporting violation</t>
  </si>
  <si>
    <t>TESST College of Technology</t>
  </si>
  <si>
    <t>Baltimore</t>
  </si>
  <si>
    <t>MD</t>
  </si>
  <si>
    <t>Program Review - Severe Findings</t>
  </si>
  <si>
    <t>Point Park University</t>
  </si>
  <si>
    <t>New York Institute of Technology</t>
  </si>
  <si>
    <t>Old Westbury</t>
  </si>
  <si>
    <t>Fiscal Year</t>
  </si>
  <si>
    <t>2010</t>
  </si>
  <si>
    <t>Southern University and Agricultural &amp; Mechanical Colg at Baton Rouge</t>
  </si>
  <si>
    <t>Fines Imposed by Federal Student Aid</t>
  </si>
  <si>
    <t>Data Source: Postsecondary Education Participants System (PEPS)</t>
  </si>
  <si>
    <t>IPEDS Fines</t>
  </si>
  <si>
    <t>Other Fines</t>
  </si>
  <si>
    <t>This tab provides definitions for Fines Imposed by Federal Student Aid</t>
  </si>
  <si>
    <t>Field Name</t>
  </si>
  <si>
    <t>Definition</t>
  </si>
  <si>
    <t>Fines Imposed</t>
  </si>
  <si>
    <r>
      <rPr>
        <b/>
        <sz val="11"/>
        <color indexed="8"/>
        <rFont val="Times New Roman"/>
        <family val="1"/>
      </rPr>
      <t>Data Source:</t>
    </r>
    <r>
      <rPr>
        <sz val="11"/>
        <color indexed="8"/>
        <rFont val="Times New Roman"/>
        <family val="1"/>
      </rPr>
      <t xml:space="preserve"> Postsecondary Education Participants System (PEPS)</t>
    </r>
  </si>
  <si>
    <r>
      <t xml:space="preserve">Data Run Date: </t>
    </r>
    <r>
      <rPr>
        <sz val="11"/>
        <color indexed="8"/>
        <rFont val="Times New Roman"/>
        <family val="1"/>
      </rPr>
      <t>Data is run annually after the end of the federal fiscal year. Each federal fiscal year begins October 1 and ends September 30.</t>
    </r>
  </si>
  <si>
    <t>IPEDS Imposed Fines</t>
  </si>
  <si>
    <t>Other Imposed Fines</t>
  </si>
  <si>
    <t>Total Imposed Fines</t>
  </si>
  <si>
    <t>Clery Fines (Campus Security)</t>
  </si>
  <si>
    <t xml:space="preserve">Federal Student Aid also imposes fines on institutions for other violations of Federal laws and regulations governing the federal student aid programs.  For example, FSA fines institutions for failure to meet the fiduciary standard of conduct, fraud, late and/or unmade refunds, late submission of compliance and financial statement audits, incentive compensation violations, failure to submit a required letter of credit (LOC), disbursements to students enrolled at ineligible locations, and severe program review findings.  Federal Student Aid may initiate the fine actions alone or in conjunction with other adverse actions, such as emergency and termination actions. </t>
  </si>
  <si>
    <t>The Jeanne Clery Disclosure of Campus Security Policy and Campus Crime Statistics Act (Clery Act) is a federal statute requiring institutions participating in the federal student aid programs to maintain and disclose campus crime statistics and campus security information. Federal Student Aid conducts reviews to evaluate an institution's compliance with the Clery Act requirements, and institutions may be fined for violations of the Clery Act. Access a complete list of Clery Act reports and accompanying documentation at https://studentaid.ed.gov/sa/clery-act-reports.  Note that Clery Act fines are referred to as Campus Security fines in the attached spreadsheets.</t>
  </si>
  <si>
    <t xml:space="preserve">The completion of all Integrated Postsecondary Education Data System (IPEDS) surveys, in a timely and accurate manner, is mandatory for all institutions that participate in, or are applicants for participation in, any federal student aid program.  Federal Student Aid imposes fines upon institutions for not completing their IPEDS surveys in a complete and accurate manner within the required timeframes. </t>
  </si>
  <si>
    <t>02280500</t>
  </si>
  <si>
    <t>03445300</t>
  </si>
  <si>
    <t>02098800</t>
  </si>
  <si>
    <t>03698400</t>
  </si>
  <si>
    <t>02125000</t>
  </si>
  <si>
    <t>03162300</t>
  </si>
  <si>
    <t>00565500</t>
  </si>
  <si>
    <t>02228500</t>
  </si>
  <si>
    <t>01047400</t>
  </si>
  <si>
    <t>03590400</t>
  </si>
  <si>
    <t>02596400</t>
  </si>
  <si>
    <t>03972300</t>
  </si>
  <si>
    <t>02329900</t>
  </si>
  <si>
    <t>02578300</t>
  </si>
  <si>
    <t>03081500</t>
  </si>
  <si>
    <t>02354500</t>
  </si>
  <si>
    <t>03881400</t>
  </si>
  <si>
    <t>02196400</t>
  </si>
  <si>
    <t>03061400</t>
  </si>
  <si>
    <t>01163100</t>
  </si>
  <si>
    <t>01229100</t>
  </si>
  <si>
    <t>00953000</t>
  </si>
  <si>
    <t>02066100</t>
  </si>
  <si>
    <t>03326300</t>
  </si>
  <si>
    <t>0536300</t>
  </si>
  <si>
    <t>03892300</t>
  </si>
  <si>
    <t>02143700</t>
  </si>
  <si>
    <t>03930300</t>
  </si>
  <si>
    <t>02200800</t>
  </si>
  <si>
    <t>02596600</t>
  </si>
  <si>
    <t>01249600</t>
  </si>
  <si>
    <t>00361000</t>
  </si>
  <si>
    <t>03013100</t>
  </si>
  <si>
    <t>00142800</t>
  </si>
  <si>
    <t>04176900</t>
  </si>
  <si>
    <t>03875300</t>
  </si>
  <si>
    <t>03635300</t>
  </si>
  <si>
    <t>00185600</t>
  </si>
  <si>
    <t>00188000</t>
  </si>
  <si>
    <t>02584900</t>
  </si>
  <si>
    <t>00549900</t>
  </si>
  <si>
    <t>00194500</t>
  </si>
  <si>
    <t>00202500</t>
  </si>
  <si>
    <t>00989900</t>
  </si>
  <si>
    <t>02280900</t>
  </si>
  <si>
    <t>04208600</t>
  </si>
  <si>
    <t>00399300</t>
  </si>
  <si>
    <t>02108800</t>
  </si>
  <si>
    <t>03109500</t>
  </si>
  <si>
    <t>03479300</t>
  </si>
  <si>
    <t>04134500</t>
  </si>
  <si>
    <t>03409600</t>
  </si>
  <si>
    <t>00765600</t>
  </si>
  <si>
    <t>04117600</t>
  </si>
  <si>
    <t>02134800</t>
  </si>
  <si>
    <t>03886300</t>
  </si>
  <si>
    <t>04193100</t>
  </si>
  <si>
    <t>04118700</t>
  </si>
  <si>
    <t>04190300</t>
  </si>
  <si>
    <t>00255100</t>
  </si>
  <si>
    <t>01083700</t>
  </si>
  <si>
    <t>00321000</t>
  </si>
  <si>
    <t>02241900</t>
  </si>
  <si>
    <t>02276000</t>
  </si>
  <si>
    <t>02053000</t>
  </si>
  <si>
    <t>00375400</t>
  </si>
  <si>
    <t>0369600</t>
  </si>
  <si>
    <t>03262300</t>
  </si>
  <si>
    <t>02200100</t>
  </si>
  <si>
    <t>00278200</t>
  </si>
  <si>
    <t>00143300</t>
  </si>
  <si>
    <t>00298900</t>
  </si>
  <si>
    <t>00380000</t>
  </si>
  <si>
    <t>00467300</t>
  </si>
  <si>
    <t>00189000</t>
  </si>
  <si>
    <t>00142600</t>
  </si>
  <si>
    <t>00300500</t>
  </si>
  <si>
    <t>00749100</t>
  </si>
  <si>
    <t>00365600</t>
  </si>
  <si>
    <t>00226100</t>
  </si>
  <si>
    <t>00747300</t>
  </si>
  <si>
    <t>00271300</t>
  </si>
  <si>
    <t>00107400</t>
  </si>
  <si>
    <t>04132700</t>
  </si>
  <si>
    <t>04093300</t>
  </si>
  <si>
    <t>04120400</t>
  </si>
  <si>
    <t>03911300</t>
  </si>
  <si>
    <t>02577000</t>
  </si>
  <si>
    <t>04091300</t>
  </si>
  <si>
    <t>00169400</t>
  </si>
  <si>
    <t>03199300</t>
  </si>
  <si>
    <t>04171600</t>
  </si>
  <si>
    <t>02159100</t>
  </si>
  <si>
    <t>02323700</t>
  </si>
  <si>
    <t>04120700</t>
  </si>
  <si>
    <t>00466900</t>
  </si>
  <si>
    <t>01321800</t>
  </si>
  <si>
    <t>003579300</t>
  </si>
  <si>
    <t>02210400</t>
  </si>
  <si>
    <t>00904300</t>
  </si>
  <si>
    <t>02511500</t>
  </si>
  <si>
    <t>00308500</t>
  </si>
  <si>
    <t>02581200</t>
  </si>
  <si>
    <t>00335700</t>
  </si>
  <si>
    <t>01044700</t>
  </si>
  <si>
    <t>03731300</t>
  </si>
  <si>
    <t>00363100</t>
  </si>
  <si>
    <t>03612400</t>
  </si>
  <si>
    <t>02557700</t>
  </si>
  <si>
    <t>04067300</t>
  </si>
  <si>
    <t>03997300</t>
  </si>
  <si>
    <t>03023400</t>
  </si>
  <si>
    <t>03901300</t>
  </si>
  <si>
    <t>02059800</t>
  </si>
  <si>
    <t>02536700</t>
  </si>
  <si>
    <t>00235700</t>
  </si>
  <si>
    <t>03916300</t>
  </si>
  <si>
    <t>03839300</t>
  </si>
  <si>
    <t>03568300</t>
  </si>
  <si>
    <t>02118700</t>
  </si>
  <si>
    <t>00279500</t>
  </si>
  <si>
    <t>02498700</t>
  </si>
  <si>
    <t>00335800</t>
  </si>
  <si>
    <t>03701300</t>
  </si>
  <si>
    <t>03023800</t>
  </si>
  <si>
    <t>03885700</t>
  </si>
  <si>
    <t>03680300</t>
  </si>
  <si>
    <t>03520300</t>
  </si>
  <si>
    <t>03035200</t>
  </si>
  <si>
    <t>04118100</t>
  </si>
  <si>
    <t>03734300</t>
  </si>
  <si>
    <t>00500800</t>
  </si>
  <si>
    <t>Fines Imposed by Federal Student Aid in Fiscal Year 2010</t>
  </si>
  <si>
    <t>Imposed Fine
Amount</t>
  </si>
  <si>
    <t>Imposed Fine 
Date</t>
  </si>
  <si>
    <t>Fines Imposed by Federal Student Aid in Fiscal Year 2011</t>
  </si>
  <si>
    <t>Imposed Fine 
Amount</t>
  </si>
  <si>
    <t>Fines Imposed by Federal Student Aid in Fiscal Year 2012</t>
  </si>
  <si>
    <t>Fines Imposed by Federal Student Aid in Fiscal Year 2013</t>
  </si>
  <si>
    <t xml:space="preserve">Imposed Fine 
Amount </t>
  </si>
  <si>
    <t>Fines Imposed by Federal Student Aid in Fiscal Year 2014</t>
  </si>
  <si>
    <t>Fines Imposed by Federal Student Aid in Fiscal Year 2015</t>
  </si>
  <si>
    <t xml:space="preserve"> </t>
  </si>
  <si>
    <t>All-State Career School</t>
  </si>
  <si>
    <t>Lester</t>
  </si>
  <si>
    <t>Concordia University</t>
  </si>
  <si>
    <t>Portland</t>
  </si>
  <si>
    <t>Keiser University</t>
  </si>
  <si>
    <t>Fort Lauderdale</t>
  </si>
  <si>
    <t>02495500</t>
  </si>
  <si>
    <t>00319100</t>
  </si>
  <si>
    <t>02151900</t>
  </si>
  <si>
    <t>Allen School</t>
  </si>
  <si>
    <t>Jamaica</t>
  </si>
  <si>
    <t>Art Institute of Pittsburgh (The)</t>
  </si>
  <si>
    <t>Campus Security-Part 86</t>
  </si>
  <si>
    <t>Century College</t>
  </si>
  <si>
    <t>White Bear Lake</t>
  </si>
  <si>
    <t>Part 86</t>
  </si>
  <si>
    <t>College of Health Care Professions (The)</t>
  </si>
  <si>
    <t>Austin</t>
  </si>
  <si>
    <t>Community Christian College</t>
  </si>
  <si>
    <t>Redlands</t>
  </si>
  <si>
    <t>NJ</t>
  </si>
  <si>
    <t>Hondros College</t>
  </si>
  <si>
    <t>Westerville</t>
  </si>
  <si>
    <t>Misrepresentation</t>
  </si>
  <si>
    <t>Houston International College Cardiotech Ultrasound School</t>
  </si>
  <si>
    <t>Institute of Beauty and Wellness (The)</t>
  </si>
  <si>
    <t>Milwaukee</t>
  </si>
  <si>
    <t>WI</t>
  </si>
  <si>
    <t>Jefferson College</t>
  </si>
  <si>
    <t>Hillsboro</t>
  </si>
  <si>
    <t>Joliet Junior College</t>
  </si>
  <si>
    <t>Joliet</t>
  </si>
  <si>
    <t>Make-Up Designory</t>
  </si>
  <si>
    <t>Burbank</t>
  </si>
  <si>
    <t>McDaniel College</t>
  </si>
  <si>
    <t>Westminster</t>
  </si>
  <si>
    <t>Medical Career Institute</t>
  </si>
  <si>
    <t>Ocean</t>
  </si>
  <si>
    <t>Mitsu Sato Hair Academy</t>
  </si>
  <si>
    <t>Overland Park</t>
  </si>
  <si>
    <t>Paul Mitchell The School Sacramento</t>
  </si>
  <si>
    <t>Sacramento</t>
  </si>
  <si>
    <t>Rosemont College</t>
  </si>
  <si>
    <t>Rosemont</t>
  </si>
  <si>
    <t>Saint Joseph's School of Nursing</t>
  </si>
  <si>
    <t>Lancaster</t>
  </si>
  <si>
    <t>Valley College of Medical Careers</t>
  </si>
  <si>
    <t>West Hills</t>
  </si>
  <si>
    <t>Wichita Area Technical College</t>
  </si>
  <si>
    <t>Xenon International Academy III</t>
  </si>
  <si>
    <t>Aurora</t>
  </si>
  <si>
    <t>Fines Imposed by Federal Student Aid in Fiscal Year 2016</t>
  </si>
  <si>
    <t>Drug-Free Schools and Communities Act Fines (Part 86)</t>
  </si>
  <si>
    <t xml:space="preserve">The Drug-Free Schools and Communities Act (DFSCA) and Part 86 of the Department's General Administrative Regulations (34 C.F.R. Part 86) require institutions to develope and implement a drug and alcohol abuse education and prevention program (DAAPP), to distribute the DAAPP annually to current students and employees, and to conduct a biennial review to determine the effectiveness of its DAAPP and to ensure consistent enforcement of applicable laws, ordinances, and institutional policies.  Federal Student Aid conducts reviews to evaluate an institution's compliance with the DFSCA requirements, and institutions may be fined for violations of the DFSCA.  The DFSCA reports are maintained with the Clery Act reports.  Access DFSCA reports and accompanying documentation at https://studentaid.ed.gov/sa/clery-act-reports.  </t>
  </si>
  <si>
    <t>Clery/Part 86 Imposed Fines</t>
  </si>
  <si>
    <t>Central Connecticut State University</t>
  </si>
  <si>
    <t>New Britain</t>
  </si>
  <si>
    <t>Cottey College</t>
  </si>
  <si>
    <t>Nevada</t>
  </si>
  <si>
    <t>Graham Hospital School of Nursing</t>
  </si>
  <si>
    <t>Canton</t>
  </si>
  <si>
    <t>PCCTI  Healthcare</t>
  </si>
  <si>
    <t>Oak Brook</t>
  </si>
  <si>
    <t>Pennsylvania Highlands Community College</t>
  </si>
  <si>
    <t>Johnstown</t>
  </si>
  <si>
    <t>Pennsylvania State University (The)</t>
  </si>
  <si>
    <t>University Park</t>
  </si>
  <si>
    <t>Shear Learning Academy of Cosmetology.</t>
  </si>
  <si>
    <t>Decatur</t>
  </si>
  <si>
    <t>Virginia State University</t>
  </si>
  <si>
    <t>Petersburg</t>
  </si>
  <si>
    <t>Fines Imposed by Federal Student Aid in Fiscal Year 2017</t>
  </si>
  <si>
    <t>In addition to fines, institutions may be subject to False Claims Act lawsuits, directly by the government or through qui tam actions filed by individuals.  If a False Claims Act case is resolved in favor of the Department by court action or settlement, the government may receive up to three times the amount of damages caused by the institution’s actions.</t>
  </si>
  <si>
    <t>Fines Imposed by Federal Student Aid in Fiscal Year 2018</t>
  </si>
  <si>
    <t>Seminar L'Moros Bais Yaakov</t>
  </si>
  <si>
    <t>Tricoci University of Beauty Culture</t>
  </si>
  <si>
    <t>Occidental College</t>
  </si>
  <si>
    <t>South Carolina State University</t>
  </si>
  <si>
    <t>Tomorrow's Image Barber &amp; Beauty Academy of Virginia</t>
  </si>
  <si>
    <t>Newport News</t>
  </si>
  <si>
    <t>Beckfield College</t>
  </si>
  <si>
    <t>Florence</t>
  </si>
  <si>
    <t>Holistic Massage Training Institute</t>
  </si>
  <si>
    <t>Paul Mitchell The School - Jersey Shore</t>
  </si>
  <si>
    <t>Brick</t>
  </si>
  <si>
    <t>Master's University and Seminary (The)</t>
  </si>
  <si>
    <t>Santa Clarita</t>
  </si>
  <si>
    <t>Northern Wyoming Community College District</t>
  </si>
  <si>
    <t>Sheridan</t>
  </si>
  <si>
    <t>WY</t>
  </si>
  <si>
    <t>Nebraska Christian College</t>
  </si>
  <si>
    <t>Papillion</t>
  </si>
  <si>
    <t>Saint Louis College of Pharmacy</t>
  </si>
  <si>
    <t>Saint Louis</t>
  </si>
  <si>
    <t>Memphis Theological Seminary</t>
  </si>
  <si>
    <t>University of Scranton</t>
  </si>
  <si>
    <t>Scranton</t>
  </si>
  <si>
    <t>Indian Hills Community College</t>
  </si>
  <si>
    <t>Ottumwa</t>
  </si>
  <si>
    <t>Hair Dynamics Education Center</t>
  </si>
  <si>
    <t>Fort Collins</t>
  </si>
  <si>
    <t>Unreported CIO</t>
  </si>
  <si>
    <t>Saint Louis Christian College</t>
  </si>
  <si>
    <t>Florissant</t>
  </si>
  <si>
    <t>Citizens School of Nursing</t>
  </si>
  <si>
    <t>New Kensington</t>
  </si>
  <si>
    <t>University of Jamestown</t>
  </si>
  <si>
    <t>Jamestown</t>
  </si>
  <si>
    <t>Felician University</t>
  </si>
  <si>
    <t>Lodi</t>
  </si>
  <si>
    <t>University of Saint Thomas</t>
  </si>
  <si>
    <t>Coffeyville Community College</t>
  </si>
  <si>
    <t>Coffeyville</t>
  </si>
  <si>
    <t>Delgado Community College</t>
  </si>
  <si>
    <t>New Orleans</t>
  </si>
  <si>
    <t>OPE-ID</t>
  </si>
  <si>
    <t>School Name</t>
  </si>
  <si>
    <t>Imposed Fine Amount</t>
  </si>
  <si>
    <t>Imposed Fine Date</t>
  </si>
  <si>
    <t>Saint Francis University</t>
  </si>
  <si>
    <t>Loretto</t>
  </si>
  <si>
    <t>Mequon</t>
  </si>
  <si>
    <t>Davis &amp; Elkins College</t>
  </si>
  <si>
    <t>Elkins</t>
  </si>
  <si>
    <t>College of the Redwoods</t>
  </si>
  <si>
    <t>Eureka</t>
  </si>
  <si>
    <t>DuVall's School of Cosmetology</t>
  </si>
  <si>
    <t>Bedford</t>
  </si>
  <si>
    <t>MacMurray College</t>
  </si>
  <si>
    <t>Jacksonville</t>
  </si>
  <si>
    <t>University of Montana (The)</t>
  </si>
  <si>
    <t>Missoula</t>
  </si>
  <si>
    <t>MT</t>
  </si>
  <si>
    <t>Green River College</t>
  </si>
  <si>
    <t>Auburn</t>
  </si>
  <si>
    <t>National University College-IBC Institute</t>
  </si>
  <si>
    <t>Michigan State University</t>
  </si>
  <si>
    <t>East Lansing</t>
  </si>
  <si>
    <t>Program Review - Severe Findings (Campus Security)</t>
  </si>
  <si>
    <t>North Greenville University</t>
  </si>
  <si>
    <t>Tigerville</t>
  </si>
  <si>
    <t>Oral Roberts University</t>
  </si>
  <si>
    <t>Fines are civil penalties that Federal Student Aid assesses to sanction institutions that fail to comply with Federal laws and regulations that govern the federal student aid programs and which protect students across the country.  Since July 1, 2009, Federal Student Aid has exercised its fine authority under two primary statutory authorities, 20 U.S.C. § 1015(c)(5) (see IPEDS Fines, below), and 20 U.S.C. § 1094(c)(3)(B) (See Clery Fines and Other Fines, below).  Federal Student Aid determines the amount of the fines it imposes by evaluating the gravity of the offense, the nature of the violation, and the size of the institution.  See 34 C.F.R. § 668.92.  In general, fines are imposed as the result of administrative proceedings initiated by the Administrative Actions and Appeals Service Group (AAASG) pursuant to the provisions of 34 C.F.R. § 668.84, however fines may also be imposed through settlement agreements that Federal Student Aid enters into with institutions to  resolve issues of noncompliance without the need for administrative litigation.  Note that a fine is not the same as a liability.  The purpose of a fine is to punish an institution for its misconduct and to deter that institution, as well as other institutions, from committing similar violations in the future, whereas a liability is the amount of federal student aid program funds that an institution improperly received or disbursed and therefore must repay.  
Under the Federal Civil Penalties Inflation Adjustment Act  Improvements Act of 2015 and prior laws, the Department has to adjust its civil penalties to reflect inflation.  In accordance with that law, since January 14, 2020, the Department’s regulations have permitted a fine amount of up to $58,328 for violations that occurred after November 2,2015.  Previously, maximum fine amounts were $57,317, $55,907. $54,789, $53,907, $35,000, and $27,500 for earlier time periods.</t>
  </si>
  <si>
    <t>Fines Imposed by Federal Student Aid in FY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</si>
</sst>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5" formatCode="&quot;$&quot;#,##0_);\(&quot;$&quot;#,##0\)"/>
    <numFmt numFmtId="6" formatCode="&quot;$&quot;#,##0_);[Red]\(&quot;$&quot;#,##0\)"/>
    <numFmt numFmtId="44" formatCode="_(&quot;$&quot;* #,##0.00_);_(&quot;$&quot;* \(#,##0.00\);_(&quot;$&quot;* &quot;-&quot;??_);_(@_)"/>
    <numFmt numFmtId="165" formatCode="&quot;$&quot;#,##0"/>
  </numFmts>
  <fonts count="29" x14ac:knownFonts="1">
    <font>
      <sz val="11"/>
      <color theme="1"/>
      <name val="Calibri"/>
      <family val="2"/>
      <scheme val="minor"/>
    </font>
    <font>
      <b/>
      <sz val="12"/>
      <name val="Times New Roman"/>
      <family val="1"/>
    </font>
    <font>
      <sz val="12"/>
      <name val="Times New Roman"/>
      <family val="1"/>
    </font>
    <font>
      <sz val="11"/>
      <name val="Times New Roman"/>
      <family val="1"/>
    </font>
    <font>
      <b/>
      <sz val="11"/>
      <name val="Times New Roman"/>
      <family val="1"/>
    </font>
    <font>
      <i/>
      <sz val="11"/>
      <name val="Times New Roman"/>
      <family val="1"/>
    </font>
    <font>
      <sz val="11"/>
      <color indexed="8"/>
      <name val="Times New Roman"/>
      <family val="1"/>
    </font>
    <font>
      <b/>
      <sz val="11"/>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Times New Roman"/>
      <family val="1"/>
    </font>
    <font>
      <b/>
      <sz val="11"/>
      <color theme="1"/>
      <name val="Times New Roman"/>
      <family val="1"/>
    </font>
    <font>
      <b/>
      <sz val="12"/>
      <color theme="1"/>
      <name val="Times New Roman"/>
      <family val="1"/>
    </font>
    <font>
      <sz val="12"/>
      <color theme="1"/>
      <name val="Times New Roman"/>
      <family val="1"/>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17" applyNumberFormat="0" applyAlignment="0" applyProtection="0"/>
    <xf numFmtId="0" fontId="12" fillId="28" borderId="18" applyNumberFormat="0" applyAlignment="0" applyProtection="0"/>
    <xf numFmtId="44" fontId="8" fillId="0" borderId="0" applyFont="0" applyFill="0" applyBorder="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19" applyNumberFormat="0" applyFill="0" applyAlignment="0" applyProtection="0"/>
    <xf numFmtId="0" fontId="16" fillId="0" borderId="20" applyNumberFormat="0" applyFill="0" applyAlignment="0" applyProtection="0"/>
    <xf numFmtId="0" fontId="17" fillId="0" borderId="21" applyNumberFormat="0" applyFill="0" applyAlignment="0" applyProtection="0"/>
    <xf numFmtId="0" fontId="17" fillId="0" borderId="0" applyNumberFormat="0" applyFill="0" applyBorder="0" applyAlignment="0" applyProtection="0"/>
    <xf numFmtId="0" fontId="18" fillId="30" borderId="17" applyNumberFormat="0" applyAlignment="0" applyProtection="0"/>
    <xf numFmtId="0" fontId="19" fillId="0" borderId="22" applyNumberFormat="0" applyFill="0" applyAlignment="0" applyProtection="0"/>
    <xf numFmtId="0" fontId="20" fillId="31" borderId="0" applyNumberFormat="0" applyBorder="0" applyAlignment="0" applyProtection="0"/>
    <xf numFmtId="0" fontId="8" fillId="32" borderId="23" applyNumberFormat="0" applyFont="0" applyAlignment="0" applyProtection="0"/>
    <xf numFmtId="0" fontId="21" fillId="27" borderId="24" applyNumberFormat="0" applyAlignment="0" applyProtection="0"/>
    <xf numFmtId="0" fontId="22" fillId="0" borderId="0" applyNumberFormat="0" applyFill="0" applyBorder="0" applyAlignment="0" applyProtection="0"/>
    <xf numFmtId="0" fontId="23" fillId="0" borderId="25" applyNumberFormat="0" applyFill="0" applyAlignment="0" applyProtection="0"/>
    <xf numFmtId="0" fontId="24" fillId="0" borderId="0" applyNumberFormat="0" applyFill="0" applyBorder="0" applyAlignment="0" applyProtection="0"/>
  </cellStyleXfs>
  <cellXfs count="104">
    <xf numFmtId="0" fontId="0" fillId="0" borderId="0" xfId="0"/>
    <xf numFmtId="5" fontId="0" fillId="0" borderId="0" xfId="0" applyNumberFormat="1"/>
    <xf numFmtId="0" fontId="23" fillId="0" borderId="0" xfId="0" applyFont="1"/>
    <xf numFmtId="3" fontId="0" fillId="0" borderId="0" xfId="0" applyNumberFormat="1"/>
    <xf numFmtId="49" fontId="0" fillId="0" borderId="0" xfId="0" applyNumberFormat="1"/>
    <xf numFmtId="6" fontId="0" fillId="0" borderId="0" xfId="0" applyNumberFormat="1"/>
    <xf numFmtId="5" fontId="1" fillId="0" borderId="0" xfId="0" applyNumberFormat="1" applyFont="1" applyAlignment="1">
      <alignment horizontal="center"/>
    </xf>
    <xf numFmtId="0" fontId="4" fillId="33" borderId="1" xfId="0" applyFont="1" applyFill="1" applyBorder="1" applyAlignment="1">
      <alignment horizontal="center"/>
    </xf>
    <xf numFmtId="5" fontId="4" fillId="33" borderId="1" xfId="0" applyNumberFormat="1" applyFont="1" applyFill="1" applyBorder="1" applyAlignment="1">
      <alignment horizontal="center"/>
    </xf>
    <xf numFmtId="165" fontId="4" fillId="33" borderId="1" xfId="0" applyNumberFormat="1" applyFont="1" applyFill="1" applyBorder="1" applyAlignment="1">
      <alignment horizontal="center"/>
    </xf>
    <xf numFmtId="49" fontId="3" fillId="0" borderId="1" xfId="0" applyNumberFormat="1" applyFont="1" applyBorder="1" applyAlignment="1">
      <alignment horizontal="center"/>
    </xf>
    <xf numFmtId="5" fontId="3" fillId="0" borderId="1" xfId="0" applyNumberFormat="1" applyFont="1" applyBorder="1" applyAlignment="1">
      <alignment horizontal="center"/>
    </xf>
    <xf numFmtId="165" fontId="3" fillId="0" borderId="1" xfId="0" applyNumberFormat="1" applyFont="1" applyBorder="1" applyAlignment="1">
      <alignment horizontal="center"/>
    </xf>
    <xf numFmtId="0" fontId="3" fillId="0" borderId="1" xfId="0" applyFont="1" applyBorder="1" applyAlignment="1">
      <alignment horizontal="center"/>
    </xf>
    <xf numFmtId="0" fontId="0" fillId="0" borderId="0" xfId="0" applyAlignment="1">
      <alignment wrapText="1"/>
    </xf>
    <xf numFmtId="5" fontId="2" fillId="0" borderId="0" xfId="0" applyNumberFormat="1" applyFont="1" applyAlignment="1">
      <alignment horizontal="center"/>
    </xf>
    <xf numFmtId="0" fontId="5" fillId="0" borderId="0" xfId="0" applyFont="1" applyAlignment="1">
      <alignment horizontal="center"/>
    </xf>
    <xf numFmtId="0" fontId="0" fillId="0" borderId="0" xfId="0" applyFont="1"/>
    <xf numFmtId="0" fontId="4" fillId="0" borderId="1" xfId="0" applyFont="1" applyBorder="1" applyAlignment="1">
      <alignment horizontal="center"/>
    </xf>
    <xf numFmtId="0" fontId="25"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xf>
    <xf numFmtId="0" fontId="26" fillId="0" borderId="1" xfId="0" applyFont="1" applyBorder="1" applyAlignment="1">
      <alignment wrapText="1"/>
    </xf>
    <xf numFmtId="0" fontId="0" fillId="0" borderId="0" xfId="0" applyAlignment="1">
      <alignment horizontal="center"/>
    </xf>
    <xf numFmtId="0" fontId="25" fillId="0" borderId="0" xfId="0" applyFont="1"/>
    <xf numFmtId="49" fontId="26" fillId="0" borderId="2" xfId="0" applyNumberFormat="1" applyFont="1" applyBorder="1" applyAlignment="1">
      <alignment horizontal="center"/>
    </xf>
    <xf numFmtId="0" fontId="26" fillId="0" borderId="2" xfId="0" applyFont="1" applyBorder="1" applyAlignment="1">
      <alignment horizontal="center"/>
    </xf>
    <xf numFmtId="165" fontId="26" fillId="0" borderId="2" xfId="0" applyNumberFormat="1" applyFont="1" applyBorder="1" applyAlignment="1">
      <alignment horizontal="center" wrapText="1"/>
    </xf>
    <xf numFmtId="0" fontId="26" fillId="0" borderId="2" xfId="0" applyFont="1" applyBorder="1" applyAlignment="1">
      <alignment horizontal="center" wrapText="1"/>
    </xf>
    <xf numFmtId="0" fontId="26" fillId="0" borderId="0" xfId="0" applyFont="1"/>
    <xf numFmtId="49" fontId="25" fillId="0" borderId="1" xfId="0" applyNumberFormat="1" applyFont="1" applyBorder="1"/>
    <xf numFmtId="0" fontId="25" fillId="0" borderId="1" xfId="0" applyFont="1" applyBorder="1"/>
    <xf numFmtId="49" fontId="25" fillId="0" borderId="0" xfId="0" applyNumberFormat="1" applyFont="1"/>
    <xf numFmtId="3" fontId="25" fillId="0" borderId="0" xfId="0" applyNumberFormat="1" applyFont="1"/>
    <xf numFmtId="14" fontId="25" fillId="0" borderId="1" xfId="0" applyNumberFormat="1" applyFont="1" applyBorder="1" applyAlignment="1">
      <alignment horizontal="left"/>
    </xf>
    <xf numFmtId="0" fontId="0" fillId="0" borderId="0" xfId="0" applyAlignment="1">
      <alignment horizontal="left"/>
    </xf>
    <xf numFmtId="49" fontId="26" fillId="0" borderId="1" xfId="0" applyNumberFormat="1" applyFont="1" applyBorder="1" applyAlignment="1">
      <alignment horizontal="center"/>
    </xf>
    <xf numFmtId="0" fontId="26" fillId="0" borderId="1" xfId="0" applyFont="1" applyBorder="1" applyAlignment="1">
      <alignment horizontal="center"/>
    </xf>
    <xf numFmtId="0" fontId="23" fillId="0" borderId="0" xfId="0" applyFont="1" applyAlignment="1">
      <alignment horizontal="center"/>
    </xf>
    <xf numFmtId="0" fontId="26" fillId="0" borderId="1" xfId="0" applyFont="1" applyBorder="1" applyAlignment="1">
      <alignment horizontal="center" wrapText="1"/>
    </xf>
    <xf numFmtId="5" fontId="25" fillId="0" borderId="1" xfId="0" applyNumberFormat="1" applyFont="1" applyBorder="1" applyAlignment="1">
      <alignment horizontal="left"/>
    </xf>
    <xf numFmtId="49" fontId="0" fillId="0" borderId="3" xfId="0" applyNumberFormat="1" applyBorder="1"/>
    <xf numFmtId="0" fontId="0" fillId="0" borderId="3" xfId="0" applyBorder="1"/>
    <xf numFmtId="165" fontId="0" fillId="0" borderId="0" xfId="0" applyNumberFormat="1" applyAlignment="1">
      <alignment horizontal="left"/>
    </xf>
    <xf numFmtId="14" fontId="25" fillId="0" borderId="1" xfId="0" applyNumberFormat="1" applyFont="1" applyBorder="1"/>
    <xf numFmtId="165" fontId="26" fillId="0" borderId="2" xfId="0" applyNumberFormat="1" applyFont="1" applyFill="1" applyBorder="1" applyAlignment="1">
      <alignment horizontal="center" wrapText="1"/>
    </xf>
    <xf numFmtId="165" fontId="25" fillId="0" borderId="1" xfId="0" applyNumberFormat="1" applyFont="1" applyFill="1" applyBorder="1" applyAlignment="1">
      <alignment horizontal="left"/>
    </xf>
    <xf numFmtId="165" fontId="0" fillId="0" borderId="0" xfId="0" applyNumberFormat="1" applyFill="1"/>
    <xf numFmtId="0" fontId="26" fillId="0" borderId="1" xfId="0" applyFont="1" applyFill="1" applyBorder="1" applyAlignment="1">
      <alignment horizontal="center"/>
    </xf>
    <xf numFmtId="165" fontId="26" fillId="0" borderId="1" xfId="0" applyNumberFormat="1" applyFont="1" applyFill="1" applyBorder="1" applyAlignment="1">
      <alignment horizontal="center" wrapText="1"/>
    </xf>
    <xf numFmtId="0" fontId="25" fillId="0" borderId="1" xfId="0" applyFont="1" applyFill="1" applyBorder="1"/>
    <xf numFmtId="49" fontId="25" fillId="0" borderId="1" xfId="0" applyNumberFormat="1" applyFont="1" applyFill="1" applyBorder="1"/>
    <xf numFmtId="14" fontId="25" fillId="0" borderId="1" xfId="0" applyNumberFormat="1" applyFont="1" applyFill="1" applyBorder="1" applyAlignment="1">
      <alignment horizontal="left"/>
    </xf>
    <xf numFmtId="0" fontId="0" fillId="0" borderId="0" xfId="0" applyFill="1"/>
    <xf numFmtId="0" fontId="26" fillId="0" borderId="2" xfId="0" applyFont="1" applyFill="1" applyBorder="1" applyAlignment="1">
      <alignment horizontal="center"/>
    </xf>
    <xf numFmtId="0" fontId="0" fillId="0" borderId="3" xfId="0" applyFill="1" applyBorder="1"/>
    <xf numFmtId="5" fontId="0" fillId="0" borderId="3" xfId="0" applyNumberFormat="1" applyFill="1" applyBorder="1"/>
    <xf numFmtId="5" fontId="26" fillId="0" borderId="2" xfId="0" applyNumberFormat="1" applyFont="1" applyFill="1" applyBorder="1" applyAlignment="1">
      <alignment horizontal="center" wrapText="1"/>
    </xf>
    <xf numFmtId="5" fontId="25" fillId="0" borderId="1" xfId="0" applyNumberFormat="1" applyFont="1" applyFill="1" applyBorder="1" applyAlignment="1">
      <alignment horizontal="left"/>
    </xf>
    <xf numFmtId="5" fontId="0" fillId="0" borderId="0" xfId="0" applyNumberFormat="1" applyFill="1"/>
    <xf numFmtId="165" fontId="26" fillId="0" borderId="1" xfId="28" applyNumberFormat="1" applyFont="1" applyFill="1" applyBorder="1" applyAlignment="1">
      <alignment horizontal="left" wrapText="1"/>
    </xf>
    <xf numFmtId="165" fontId="25" fillId="0" borderId="1" xfId="28" applyNumberFormat="1" applyFont="1" applyFill="1" applyBorder="1" applyAlignment="1">
      <alignment horizontal="left"/>
    </xf>
    <xf numFmtId="165" fontId="8" fillId="0" borderId="0" xfId="28" applyNumberFormat="1" applyFont="1" applyFill="1" applyAlignment="1">
      <alignment horizontal="left"/>
    </xf>
    <xf numFmtId="0" fontId="25" fillId="0" borderId="1" xfId="0" applyFont="1" applyFill="1" applyBorder="1" applyAlignment="1">
      <alignment horizontal="left" wrapText="1"/>
    </xf>
    <xf numFmtId="0" fontId="3" fillId="0" borderId="1" xfId="0" applyFont="1" applyFill="1" applyBorder="1" applyAlignment="1">
      <alignment horizontal="center"/>
    </xf>
    <xf numFmtId="14" fontId="0" fillId="0" borderId="0" xfId="0" applyNumberFormat="1"/>
    <xf numFmtId="0" fontId="0" fillId="34" borderId="0" xfId="0" applyFill="1"/>
    <xf numFmtId="165" fontId="26" fillId="0" borderId="1" xfId="0" applyNumberFormat="1" applyFont="1" applyBorder="1" applyAlignment="1">
      <alignment horizontal="center" wrapText="1"/>
    </xf>
    <xf numFmtId="165" fontId="25" fillId="0" borderId="1" xfId="0" applyNumberFormat="1" applyFont="1" applyFill="1" applyBorder="1"/>
    <xf numFmtId="165" fontId="0" fillId="0" borderId="0" xfId="0" applyNumberFormat="1"/>
    <xf numFmtId="0" fontId="26" fillId="0" borderId="4" xfId="0" applyFont="1" applyBorder="1" applyAlignment="1">
      <alignment wrapText="1"/>
    </xf>
    <xf numFmtId="0" fontId="23" fillId="0" borderId="0" xfId="0" applyFont="1" applyAlignment="1">
      <alignment wrapText="1"/>
    </xf>
    <xf numFmtId="165" fontId="26" fillId="0" borderId="1" xfId="0" applyNumberFormat="1" applyFont="1" applyBorder="1" applyAlignment="1">
      <alignment wrapText="1"/>
    </xf>
    <xf numFmtId="0" fontId="25" fillId="0" borderId="1" xfId="0" applyFont="1" applyBorder="1" applyAlignment="1">
      <alignment wrapText="1"/>
    </xf>
    <xf numFmtId="165" fontId="25" fillId="0" borderId="1" xfId="0" applyNumberFormat="1" applyFont="1" applyBorder="1"/>
    <xf numFmtId="165" fontId="25" fillId="0" borderId="1" xfId="0" applyNumberFormat="1" applyFont="1" applyBorder="1" applyAlignment="1">
      <alignment horizontal="center"/>
    </xf>
    <xf numFmtId="6" fontId="25" fillId="0" borderId="1" xfId="0" applyNumberFormat="1" applyFont="1" applyBorder="1" applyAlignment="1">
      <alignment horizontal="center"/>
    </xf>
    <xf numFmtId="5" fontId="1" fillId="0" borderId="5" xfId="0" applyNumberFormat="1" applyFont="1" applyBorder="1" applyAlignment="1">
      <alignment horizontal="center"/>
    </xf>
    <xf numFmtId="5" fontId="1" fillId="0" borderId="6" xfId="0" applyNumberFormat="1" applyFont="1" applyBorder="1" applyAlignment="1">
      <alignment horizontal="center"/>
    </xf>
    <xf numFmtId="5" fontId="1" fillId="0" borderId="7" xfId="0" applyNumberFormat="1" applyFont="1" applyBorder="1" applyAlignment="1">
      <alignment horizontal="center"/>
    </xf>
    <xf numFmtId="5" fontId="5" fillId="0" borderId="8" xfId="0" applyNumberFormat="1" applyFont="1" applyBorder="1" applyAlignment="1">
      <alignment horizontal="center"/>
    </xf>
    <xf numFmtId="5" fontId="5" fillId="0" borderId="9" xfId="0" applyNumberFormat="1" applyFont="1" applyBorder="1" applyAlignment="1">
      <alignment horizontal="center"/>
    </xf>
    <xf numFmtId="5" fontId="5" fillId="0" borderId="10" xfId="0" applyNumberFormat="1"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6" fillId="0" borderId="5" xfId="0" applyFont="1" applyBorder="1"/>
    <xf numFmtId="0" fontId="6" fillId="0" borderId="7" xfId="0" applyFont="1" applyBorder="1"/>
    <xf numFmtId="0" fontId="7" fillId="0" borderId="8" xfId="0" applyFont="1" applyBorder="1" applyAlignment="1">
      <alignment wrapText="1"/>
    </xf>
    <xf numFmtId="0" fontId="7" fillId="0" borderId="10" xfId="0" applyFont="1" applyBorder="1" applyAlignment="1">
      <alignment wrapText="1"/>
    </xf>
    <xf numFmtId="49" fontId="27" fillId="0" borderId="13" xfId="0" applyNumberFormat="1" applyFont="1" applyBorder="1" applyAlignment="1">
      <alignment horizontal="center"/>
    </xf>
    <xf numFmtId="49" fontId="28" fillId="0" borderId="14" xfId="0" applyNumberFormat="1" applyFont="1" applyBorder="1" applyAlignment="1">
      <alignment horizontal="center"/>
    </xf>
    <xf numFmtId="49" fontId="28" fillId="0" borderId="15" xfId="0" applyNumberFormat="1" applyFont="1" applyBorder="1" applyAlignment="1">
      <alignment horizontal="center"/>
    </xf>
    <xf numFmtId="49" fontId="27" fillId="0" borderId="5" xfId="0" applyNumberFormat="1" applyFont="1" applyBorder="1" applyAlignment="1">
      <alignment horizontal="center"/>
    </xf>
    <xf numFmtId="49" fontId="28" fillId="0" borderId="6" xfId="0" applyNumberFormat="1" applyFont="1" applyBorder="1" applyAlignment="1">
      <alignment horizontal="center"/>
    </xf>
    <xf numFmtId="49" fontId="28" fillId="0" borderId="7" xfId="0" applyNumberFormat="1" applyFont="1" applyBorder="1" applyAlignment="1">
      <alignment horizontal="center"/>
    </xf>
    <xf numFmtId="49" fontId="27" fillId="0" borderId="6" xfId="0" applyNumberFormat="1" applyFont="1" applyBorder="1" applyAlignment="1">
      <alignment horizontal="center"/>
    </xf>
    <xf numFmtId="49" fontId="27" fillId="0" borderId="7" xfId="0" applyNumberFormat="1" applyFont="1" applyBorder="1" applyAlignment="1">
      <alignment horizontal="center"/>
    </xf>
    <xf numFmtId="49" fontId="27" fillId="0" borderId="11" xfId="0" applyNumberFormat="1" applyFont="1" applyBorder="1" applyAlignment="1">
      <alignment horizontal="center"/>
    </xf>
    <xf numFmtId="49" fontId="27" fillId="0" borderId="16" xfId="0" applyNumberFormat="1" applyFont="1" applyBorder="1" applyAlignment="1">
      <alignment horizontal="center"/>
    </xf>
    <xf numFmtId="49" fontId="27" fillId="0" borderId="12" xfId="0" applyNumberFormat="1" applyFont="1" applyBorder="1" applyAlignment="1">
      <alignment horizontal="center"/>
    </xf>
    <xf numFmtId="49" fontId="26" fillId="0" borderId="11" xfId="0" applyNumberFormat="1" applyFont="1" applyBorder="1" applyAlignment="1">
      <alignment horizontal="center"/>
    </xf>
    <xf numFmtId="49" fontId="26" fillId="0" borderId="16" xfId="0" applyNumberFormat="1" applyFont="1" applyBorder="1" applyAlignment="1">
      <alignment horizontal="center"/>
    </xf>
    <xf numFmtId="49" fontId="26" fillId="0" borderId="12" xfId="0" applyNumberFormat="1" applyFont="1" applyBorder="1" applyAlignment="1">
      <alignment horizontal="center"/>
    </xf>
    <xf numFmtId="0" fontId="27" fillId="0" borderId="1" xfId="0" applyFont="1" applyBorder="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tabSelected="1" workbookViewId="0">
      <selection sqref="A1:E1"/>
    </sheetView>
  </sheetViews>
  <sheetFormatPr defaultRowHeight="15" x14ac:dyDescent="0.25"/>
  <cols>
    <col min="1" max="1" width="11.42578125" bestFit="1" customWidth="1"/>
    <col min="2" max="2" width="27.7109375" customWidth="1"/>
    <col min="3" max="4" width="21.42578125" customWidth="1"/>
    <col min="5" max="5" width="21.28515625" customWidth="1"/>
    <col min="6" max="6" width="10.85546875" bestFit="1" customWidth="1"/>
    <col min="7" max="7" width="10.140625" bestFit="1" customWidth="1"/>
  </cols>
  <sheetData>
    <row r="1" spans="1:9" ht="15.75" x14ac:dyDescent="0.25">
      <c r="A1" s="77" t="s">
        <v>317</v>
      </c>
      <c r="B1" s="78"/>
      <c r="C1" s="78"/>
      <c r="D1" s="78"/>
      <c r="E1" s="79"/>
      <c r="F1" s="6"/>
      <c r="G1" s="6"/>
      <c r="H1" s="6"/>
      <c r="I1" s="6"/>
    </row>
    <row r="2" spans="1:9" ht="16.5" thickBot="1" x14ac:dyDescent="0.3">
      <c r="A2" s="80" t="s">
        <v>318</v>
      </c>
      <c r="B2" s="81"/>
      <c r="C2" s="81"/>
      <c r="D2" s="81"/>
      <c r="E2" s="82"/>
      <c r="F2" s="15"/>
      <c r="G2" s="15"/>
      <c r="H2" s="15"/>
      <c r="I2" s="15"/>
    </row>
    <row r="3" spans="1:9" x14ac:dyDescent="0.25">
      <c r="A3" s="17"/>
      <c r="B3" s="17"/>
      <c r="C3" s="17"/>
      <c r="D3" s="17"/>
      <c r="E3" s="17"/>
    </row>
    <row r="4" spans="1:9" x14ac:dyDescent="0.25">
      <c r="A4" s="17"/>
      <c r="B4" s="17"/>
      <c r="C4" s="17"/>
      <c r="D4" s="17"/>
      <c r="E4" s="17"/>
    </row>
    <row r="5" spans="1:9" x14ac:dyDescent="0.25">
      <c r="A5" s="7" t="s">
        <v>314</v>
      </c>
      <c r="B5" s="8" t="s">
        <v>531</v>
      </c>
      <c r="C5" s="9" t="s">
        <v>327</v>
      </c>
      <c r="D5" s="9" t="s">
        <v>328</v>
      </c>
      <c r="E5" s="9" t="s">
        <v>329</v>
      </c>
    </row>
    <row r="6" spans="1:9" x14ac:dyDescent="0.25">
      <c r="A6" s="10" t="s">
        <v>315</v>
      </c>
      <c r="B6" s="11">
        <v>42000</v>
      </c>
      <c r="C6" s="12">
        <v>225000</v>
      </c>
      <c r="D6" s="12">
        <v>48653500</v>
      </c>
      <c r="E6" s="12">
        <f>SUM(B6:D6)</f>
        <v>48920500</v>
      </c>
    </row>
    <row r="7" spans="1:9" x14ac:dyDescent="0.25">
      <c r="A7" s="13">
        <v>2011</v>
      </c>
      <c r="B7" s="11">
        <v>195000</v>
      </c>
      <c r="C7" s="12">
        <v>144500</v>
      </c>
      <c r="D7" s="12">
        <v>4868500</v>
      </c>
      <c r="E7" s="12">
        <v>5208000</v>
      </c>
      <c r="F7" s="1" t="s">
        <v>476</v>
      </c>
    </row>
    <row r="8" spans="1:9" x14ac:dyDescent="0.25">
      <c r="A8" s="13">
        <v>2012</v>
      </c>
      <c r="B8" s="11">
        <v>212500</v>
      </c>
      <c r="C8" s="12">
        <v>158500</v>
      </c>
      <c r="D8" s="12">
        <v>624000</v>
      </c>
      <c r="E8" s="12">
        <f>SUM(B8:D8)</f>
        <v>995000</v>
      </c>
    </row>
    <row r="9" spans="1:9" x14ac:dyDescent="0.25">
      <c r="A9" s="13">
        <v>2013</v>
      </c>
      <c r="B9" s="11">
        <v>812000</v>
      </c>
      <c r="C9" s="12">
        <v>56000</v>
      </c>
      <c r="D9" s="12">
        <v>5204137</v>
      </c>
      <c r="E9" s="12">
        <f>SUM(B9:D9)</f>
        <v>6072137</v>
      </c>
    </row>
    <row r="10" spans="1:9" x14ac:dyDescent="0.25">
      <c r="A10" s="13">
        <v>2014</v>
      </c>
      <c r="B10" s="11">
        <v>438000</v>
      </c>
      <c r="C10" s="12">
        <v>111250</v>
      </c>
      <c r="D10" s="12">
        <v>6750</v>
      </c>
      <c r="E10" s="12">
        <f>SUM(B10:D10)</f>
        <v>556000</v>
      </c>
    </row>
    <row r="11" spans="1:9" x14ac:dyDescent="0.25">
      <c r="A11" s="13">
        <v>2015</v>
      </c>
      <c r="B11" s="11">
        <v>500000</v>
      </c>
      <c r="C11" s="12">
        <v>39250</v>
      </c>
      <c r="D11" s="12">
        <v>14130000</v>
      </c>
      <c r="E11" s="12">
        <v>14669250</v>
      </c>
    </row>
    <row r="12" spans="1:9" x14ac:dyDescent="0.25">
      <c r="A12" s="13">
        <v>2016</v>
      </c>
      <c r="B12" s="75">
        <v>307500</v>
      </c>
      <c r="C12" s="75">
        <v>57000</v>
      </c>
      <c r="D12" s="75">
        <v>79462500</v>
      </c>
      <c r="E12" s="75">
        <v>79827000</v>
      </c>
      <c r="G12" s="3" t="s">
        <v>476</v>
      </c>
    </row>
    <row r="13" spans="1:9" x14ac:dyDescent="0.25">
      <c r="A13" s="13">
        <v>2017</v>
      </c>
      <c r="B13" s="75">
        <v>2542500</v>
      </c>
      <c r="C13" s="75">
        <v>1500</v>
      </c>
      <c r="D13" s="75">
        <v>382500</v>
      </c>
      <c r="E13" s="75">
        <v>2926500</v>
      </c>
      <c r="G13" t="s">
        <v>476</v>
      </c>
    </row>
    <row r="14" spans="1:9" x14ac:dyDescent="0.25">
      <c r="A14" s="64">
        <v>2018</v>
      </c>
      <c r="B14" s="75">
        <v>988250</v>
      </c>
      <c r="C14" s="75">
        <v>67500</v>
      </c>
      <c r="D14" s="75">
        <v>20000</v>
      </c>
      <c r="E14" s="76">
        <v>1075750</v>
      </c>
    </row>
    <row r="15" spans="1:9" x14ac:dyDescent="0.25">
      <c r="A15" s="64">
        <v>2019</v>
      </c>
      <c r="B15" s="75">
        <v>5391000</v>
      </c>
      <c r="C15" s="76">
        <v>8500</v>
      </c>
      <c r="D15" s="75">
        <v>3090087</v>
      </c>
      <c r="E15" s="76">
        <v>8489587</v>
      </c>
    </row>
  </sheetData>
  <mergeCells count="2">
    <mergeCell ref="A1:E1"/>
    <mergeCell ref="A2:E2"/>
  </mergeCells>
  <printOptions gridLines="1"/>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workbookViewId="0">
      <selection sqref="A1:B1"/>
    </sheetView>
  </sheetViews>
  <sheetFormatPr defaultRowHeight="15" x14ac:dyDescent="0.25"/>
  <cols>
    <col min="1" max="1" width="22.140625" customWidth="1"/>
    <col min="2" max="2" width="128.5703125" customWidth="1"/>
  </cols>
  <sheetData>
    <row r="1" spans="1:5" ht="15.75" thickBot="1" x14ac:dyDescent="0.3">
      <c r="A1" s="83" t="s">
        <v>321</v>
      </c>
      <c r="B1" s="84"/>
    </row>
    <row r="2" spans="1:5" ht="15.75" thickBot="1" x14ac:dyDescent="0.3">
      <c r="A2" s="16"/>
      <c r="B2" s="16"/>
    </row>
    <row r="3" spans="1:5" x14ac:dyDescent="0.25">
      <c r="A3" s="85" t="s">
        <v>325</v>
      </c>
      <c r="B3" s="86"/>
    </row>
    <row r="4" spans="1:5" ht="15.75" thickBot="1" x14ac:dyDescent="0.3">
      <c r="A4" s="87" t="s">
        <v>326</v>
      </c>
      <c r="B4" s="88"/>
      <c r="C4" s="14"/>
      <c r="D4" s="14"/>
      <c r="E4" s="14"/>
    </row>
    <row r="5" spans="1:5" x14ac:dyDescent="0.25">
      <c r="A5" s="17"/>
      <c r="B5" s="17"/>
    </row>
    <row r="6" spans="1:5" x14ac:dyDescent="0.25">
      <c r="A6" s="18" t="s">
        <v>322</v>
      </c>
      <c r="B6" s="18" t="s">
        <v>323</v>
      </c>
    </row>
    <row r="7" spans="1:5" ht="225" x14ac:dyDescent="0.25">
      <c r="A7" s="21" t="s">
        <v>324</v>
      </c>
      <c r="B7" s="20" t="s">
        <v>619</v>
      </c>
    </row>
    <row r="8" spans="1:5" ht="75" x14ac:dyDescent="0.25">
      <c r="A8" s="22" t="s">
        <v>330</v>
      </c>
      <c r="B8" s="19" t="s">
        <v>332</v>
      </c>
    </row>
    <row r="9" spans="1:5" ht="90" x14ac:dyDescent="0.25">
      <c r="A9" s="22" t="s">
        <v>529</v>
      </c>
      <c r="B9" s="19" t="s">
        <v>530</v>
      </c>
    </row>
    <row r="10" spans="1:5" ht="45" x14ac:dyDescent="0.25">
      <c r="A10" s="22" t="s">
        <v>319</v>
      </c>
      <c r="B10" s="19" t="s">
        <v>333</v>
      </c>
    </row>
    <row r="11" spans="1:5" ht="75" x14ac:dyDescent="0.25">
      <c r="A11" s="22" t="s">
        <v>320</v>
      </c>
      <c r="B11" s="19" t="s">
        <v>331</v>
      </c>
    </row>
    <row r="12" spans="1:5" ht="45" x14ac:dyDescent="0.25">
      <c r="A12" s="70" t="s">
        <v>231</v>
      </c>
      <c r="B12" s="63" t="s">
        <v>549</v>
      </c>
    </row>
  </sheetData>
  <mergeCells count="3">
    <mergeCell ref="A1:B1"/>
    <mergeCell ref="A3:B3"/>
    <mergeCell ref="A4:B4"/>
  </mergeCells>
  <pageMargins left="0.7" right="0.7" top="0.75" bottom="0.75" header="0.3" footer="0.3"/>
  <pageSetup paperSize="5" fitToHeight="0" orientation="landscape"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zoomScaleNormal="100" workbookViewId="0">
      <selection sqref="A1:H1"/>
    </sheetView>
  </sheetViews>
  <sheetFormatPr defaultRowHeight="15" x14ac:dyDescent="0.25"/>
  <cols>
    <col min="1" max="1" width="9" style="4" bestFit="1" customWidth="1"/>
    <col min="2" max="2" width="42.28515625" bestFit="1" customWidth="1"/>
    <col min="3" max="3" width="19.5703125" bestFit="1" customWidth="1"/>
    <col min="4" max="4" width="6" customWidth="1"/>
    <col min="5" max="5" width="11.5703125" customWidth="1"/>
    <col min="6" max="6" width="23" bestFit="1" customWidth="1"/>
    <col min="7" max="7" width="20.85546875" style="47" bestFit="1" customWidth="1"/>
    <col min="8" max="8" width="10.85546875" style="35" customWidth="1"/>
    <col min="9" max="9" width="10.7109375" bestFit="1" customWidth="1"/>
  </cols>
  <sheetData>
    <row r="1" spans="1:8" s="24" customFormat="1" ht="16.5" thickBot="1" x14ac:dyDescent="0.3">
      <c r="A1" s="89" t="s">
        <v>466</v>
      </c>
      <c r="B1" s="90"/>
      <c r="C1" s="90"/>
      <c r="D1" s="90"/>
      <c r="E1" s="90"/>
      <c r="F1" s="90"/>
      <c r="G1" s="90"/>
      <c r="H1" s="91"/>
    </row>
    <row r="2" spans="1:8" s="29" customFormat="1" ht="42.75" x14ac:dyDescent="0.2">
      <c r="A2" s="25" t="s">
        <v>0</v>
      </c>
      <c r="B2" s="26" t="s">
        <v>101</v>
      </c>
      <c r="C2" s="26" t="s">
        <v>102</v>
      </c>
      <c r="D2" s="26" t="s">
        <v>103</v>
      </c>
      <c r="E2" s="26" t="s">
        <v>104</v>
      </c>
      <c r="F2" s="26" t="s">
        <v>105</v>
      </c>
      <c r="G2" s="45" t="s">
        <v>467</v>
      </c>
      <c r="H2" s="28" t="s">
        <v>468</v>
      </c>
    </row>
    <row r="3" spans="1:8" s="24" customFormat="1" x14ac:dyDescent="0.25">
      <c r="A3" s="30" t="s">
        <v>334</v>
      </c>
      <c r="B3" s="31" t="s">
        <v>141</v>
      </c>
      <c r="C3" s="31" t="s">
        <v>142</v>
      </c>
      <c r="D3" s="31" t="s">
        <v>133</v>
      </c>
      <c r="E3" s="31" t="s">
        <v>9</v>
      </c>
      <c r="F3" s="31" t="s">
        <v>25</v>
      </c>
      <c r="G3" s="46">
        <v>15750</v>
      </c>
      <c r="H3" s="34">
        <v>40112</v>
      </c>
    </row>
    <row r="4" spans="1:8" s="24" customFormat="1" x14ac:dyDescent="0.25">
      <c r="A4" s="30" t="s">
        <v>335</v>
      </c>
      <c r="B4" s="31" t="s">
        <v>131</v>
      </c>
      <c r="C4" s="31" t="s">
        <v>132</v>
      </c>
      <c r="D4" s="31" t="s">
        <v>133</v>
      </c>
      <c r="E4" s="31" t="s">
        <v>9</v>
      </c>
      <c r="F4" s="31" t="s">
        <v>25</v>
      </c>
      <c r="G4" s="46">
        <v>1000</v>
      </c>
      <c r="H4" s="34">
        <v>40101</v>
      </c>
    </row>
    <row r="5" spans="1:8" s="24" customFormat="1" x14ac:dyDescent="0.25">
      <c r="A5" s="30" t="s">
        <v>336</v>
      </c>
      <c r="B5" s="31" t="s">
        <v>229</v>
      </c>
      <c r="C5" s="31" t="s">
        <v>230</v>
      </c>
      <c r="D5" s="31" t="s">
        <v>133</v>
      </c>
      <c r="E5" s="31" t="s">
        <v>9</v>
      </c>
      <c r="F5" s="31" t="s">
        <v>231</v>
      </c>
      <c r="G5" s="46">
        <v>48500000</v>
      </c>
      <c r="H5" s="34">
        <v>40162</v>
      </c>
    </row>
    <row r="6" spans="1:8" s="24" customFormat="1" x14ac:dyDescent="0.25">
      <c r="A6" s="30" t="s">
        <v>337</v>
      </c>
      <c r="B6" s="31" t="s">
        <v>159</v>
      </c>
      <c r="C6" s="31" t="s">
        <v>160</v>
      </c>
      <c r="D6" s="31" t="s">
        <v>19</v>
      </c>
      <c r="E6" s="31" t="s">
        <v>9</v>
      </c>
      <c r="F6" s="31" t="s">
        <v>25</v>
      </c>
      <c r="G6" s="46">
        <v>3500</v>
      </c>
      <c r="H6" s="34">
        <v>40113</v>
      </c>
    </row>
    <row r="7" spans="1:8" s="24" customFormat="1" x14ac:dyDescent="0.25">
      <c r="A7" s="30" t="s">
        <v>338</v>
      </c>
      <c r="B7" s="31" t="s">
        <v>139</v>
      </c>
      <c r="C7" s="31" t="s">
        <v>140</v>
      </c>
      <c r="D7" s="31" t="s">
        <v>19</v>
      </c>
      <c r="E7" s="31" t="s">
        <v>9</v>
      </c>
      <c r="F7" s="31" t="s">
        <v>25</v>
      </c>
      <c r="G7" s="46">
        <v>7000</v>
      </c>
      <c r="H7" s="34">
        <v>40112</v>
      </c>
    </row>
    <row r="8" spans="1:8" s="24" customFormat="1" x14ac:dyDescent="0.25">
      <c r="A8" s="30" t="s">
        <v>339</v>
      </c>
      <c r="B8" s="31" t="s">
        <v>120</v>
      </c>
      <c r="C8" s="31" t="s">
        <v>121</v>
      </c>
      <c r="D8" s="31" t="s">
        <v>19</v>
      </c>
      <c r="E8" s="31" t="s">
        <v>9</v>
      </c>
      <c r="F8" s="31" t="s">
        <v>25</v>
      </c>
      <c r="G8" s="46">
        <v>5000</v>
      </c>
      <c r="H8" s="34">
        <v>40094</v>
      </c>
    </row>
    <row r="9" spans="1:8" s="24" customFormat="1" x14ac:dyDescent="0.25">
      <c r="A9" s="30" t="s">
        <v>340</v>
      </c>
      <c r="B9" s="31" t="s">
        <v>122</v>
      </c>
      <c r="C9" s="31" t="s">
        <v>123</v>
      </c>
      <c r="D9" s="31" t="s">
        <v>19</v>
      </c>
      <c r="E9" s="31" t="s">
        <v>14</v>
      </c>
      <c r="F9" s="31" t="s">
        <v>25</v>
      </c>
      <c r="G9" s="46">
        <v>8750</v>
      </c>
      <c r="H9" s="34">
        <v>40094</v>
      </c>
    </row>
    <row r="10" spans="1:8" s="24" customFormat="1" x14ac:dyDescent="0.25">
      <c r="A10" s="30" t="s">
        <v>341</v>
      </c>
      <c r="B10" s="31" t="s">
        <v>161</v>
      </c>
      <c r="C10" s="31" t="s">
        <v>162</v>
      </c>
      <c r="D10" s="31" t="s">
        <v>19</v>
      </c>
      <c r="E10" s="31" t="s">
        <v>11</v>
      </c>
      <c r="F10" s="31" t="s">
        <v>25</v>
      </c>
      <c r="G10" s="46">
        <v>15000</v>
      </c>
      <c r="H10" s="34">
        <v>40114</v>
      </c>
    </row>
    <row r="11" spans="1:8" s="24" customFormat="1" x14ac:dyDescent="0.25">
      <c r="A11" s="30" t="s">
        <v>342</v>
      </c>
      <c r="B11" s="31" t="s">
        <v>149</v>
      </c>
      <c r="C11" s="31" t="s">
        <v>150</v>
      </c>
      <c r="D11" s="31" t="s">
        <v>19</v>
      </c>
      <c r="E11" s="31" t="s">
        <v>11</v>
      </c>
      <c r="F11" s="31" t="s">
        <v>25</v>
      </c>
      <c r="G11" s="46">
        <v>7500</v>
      </c>
      <c r="H11" s="34">
        <v>40112</v>
      </c>
    </row>
    <row r="12" spans="1:8" s="24" customFormat="1" x14ac:dyDescent="0.25">
      <c r="A12" s="30" t="s">
        <v>343</v>
      </c>
      <c r="B12" s="31" t="s">
        <v>126</v>
      </c>
      <c r="C12" s="31" t="s">
        <v>127</v>
      </c>
      <c r="D12" s="31" t="s">
        <v>19</v>
      </c>
      <c r="E12" s="31" t="s">
        <v>11</v>
      </c>
      <c r="F12" s="31" t="s">
        <v>25</v>
      </c>
      <c r="G12" s="46">
        <v>17500</v>
      </c>
      <c r="H12" s="34">
        <v>40094</v>
      </c>
    </row>
    <row r="13" spans="1:8" s="24" customFormat="1" x14ac:dyDescent="0.25">
      <c r="A13" s="30" t="s">
        <v>344</v>
      </c>
      <c r="B13" s="31" t="s">
        <v>154</v>
      </c>
      <c r="C13" s="31" t="s">
        <v>155</v>
      </c>
      <c r="D13" s="31" t="s">
        <v>19</v>
      </c>
      <c r="E13" s="31" t="s">
        <v>9</v>
      </c>
      <c r="F13" s="31" t="s">
        <v>25</v>
      </c>
      <c r="G13" s="46">
        <v>12500</v>
      </c>
      <c r="H13" s="34">
        <v>40112</v>
      </c>
    </row>
    <row r="14" spans="1:8" s="24" customFormat="1" x14ac:dyDescent="0.25">
      <c r="A14" s="30" t="s">
        <v>345</v>
      </c>
      <c r="B14" s="31" t="s">
        <v>143</v>
      </c>
      <c r="C14" s="31" t="s">
        <v>144</v>
      </c>
      <c r="D14" s="31" t="s">
        <v>17</v>
      </c>
      <c r="E14" s="31" t="s">
        <v>9</v>
      </c>
      <c r="F14" s="31" t="s">
        <v>25</v>
      </c>
      <c r="G14" s="46">
        <v>9000</v>
      </c>
      <c r="H14" s="34">
        <v>40112</v>
      </c>
    </row>
    <row r="15" spans="1:8" s="24" customFormat="1" x14ac:dyDescent="0.25">
      <c r="A15" s="30" t="s">
        <v>346</v>
      </c>
      <c r="B15" s="31" t="s">
        <v>169</v>
      </c>
      <c r="C15" s="31" t="s">
        <v>170</v>
      </c>
      <c r="D15" s="31" t="s">
        <v>21</v>
      </c>
      <c r="E15" s="31" t="s">
        <v>9</v>
      </c>
      <c r="F15" s="31" t="s">
        <v>25</v>
      </c>
      <c r="G15" s="46">
        <v>7000</v>
      </c>
      <c r="H15" s="34">
        <v>40116</v>
      </c>
    </row>
    <row r="16" spans="1:8" s="24" customFormat="1" x14ac:dyDescent="0.25">
      <c r="A16" s="30" t="s">
        <v>347</v>
      </c>
      <c r="B16" s="31" t="s">
        <v>147</v>
      </c>
      <c r="C16" s="31" t="s">
        <v>148</v>
      </c>
      <c r="D16" s="31" t="s">
        <v>8</v>
      </c>
      <c r="E16" s="31" t="s">
        <v>9</v>
      </c>
      <c r="F16" s="31" t="s">
        <v>25</v>
      </c>
      <c r="G16" s="46">
        <v>2250</v>
      </c>
      <c r="H16" s="34">
        <v>40112</v>
      </c>
    </row>
    <row r="17" spans="1:9" s="24" customFormat="1" x14ac:dyDescent="0.25">
      <c r="A17" s="30" t="s">
        <v>348</v>
      </c>
      <c r="B17" s="31" t="s">
        <v>173</v>
      </c>
      <c r="C17" s="31" t="s">
        <v>164</v>
      </c>
      <c r="D17" s="31" t="s">
        <v>8</v>
      </c>
      <c r="E17" s="31" t="s">
        <v>9</v>
      </c>
      <c r="F17" s="31" t="s">
        <v>25</v>
      </c>
      <c r="G17" s="46">
        <v>4000</v>
      </c>
      <c r="H17" s="34">
        <v>40116</v>
      </c>
    </row>
    <row r="18" spans="1:9" s="24" customFormat="1" x14ac:dyDescent="0.25">
      <c r="A18" s="30" t="s">
        <v>349</v>
      </c>
      <c r="B18" s="31" t="s">
        <v>173</v>
      </c>
      <c r="C18" s="31" t="s">
        <v>164</v>
      </c>
      <c r="D18" s="31" t="s">
        <v>8</v>
      </c>
      <c r="E18" s="31" t="s">
        <v>9</v>
      </c>
      <c r="F18" s="31" t="s">
        <v>25</v>
      </c>
      <c r="G18" s="46">
        <v>5000</v>
      </c>
      <c r="H18" s="34">
        <v>40116</v>
      </c>
    </row>
    <row r="19" spans="1:9" s="24" customFormat="1" x14ac:dyDescent="0.25">
      <c r="A19" s="30" t="s">
        <v>350</v>
      </c>
      <c r="B19" s="31" t="s">
        <v>118</v>
      </c>
      <c r="C19" s="31" t="s">
        <v>119</v>
      </c>
      <c r="D19" s="31" t="s">
        <v>26</v>
      </c>
      <c r="E19" s="31" t="s">
        <v>9</v>
      </c>
      <c r="F19" s="31" t="s">
        <v>25</v>
      </c>
      <c r="G19" s="46">
        <v>3500</v>
      </c>
      <c r="H19" s="34">
        <v>40094</v>
      </c>
    </row>
    <row r="20" spans="1:9" s="24" customFormat="1" x14ac:dyDescent="0.25">
      <c r="A20" s="30" t="s">
        <v>351</v>
      </c>
      <c r="B20" s="31" t="s">
        <v>145</v>
      </c>
      <c r="C20" s="31" t="s">
        <v>146</v>
      </c>
      <c r="D20" s="31" t="s">
        <v>52</v>
      </c>
      <c r="E20" s="31" t="s">
        <v>9</v>
      </c>
      <c r="F20" s="31" t="s">
        <v>25</v>
      </c>
      <c r="G20" s="46">
        <v>17500</v>
      </c>
      <c r="H20" s="34">
        <v>40112</v>
      </c>
    </row>
    <row r="21" spans="1:9" s="24" customFormat="1" x14ac:dyDescent="0.25">
      <c r="A21" s="30" t="s">
        <v>352</v>
      </c>
      <c r="B21" s="31" t="s">
        <v>226</v>
      </c>
      <c r="C21" s="31" t="s">
        <v>227</v>
      </c>
      <c r="D21" s="31" t="s">
        <v>168</v>
      </c>
      <c r="E21" s="31" t="s">
        <v>9</v>
      </c>
      <c r="F21" s="31" t="s">
        <v>228</v>
      </c>
      <c r="G21" s="46">
        <v>99500</v>
      </c>
      <c r="H21" s="34">
        <v>40409</v>
      </c>
    </row>
    <row r="22" spans="1:9" s="24" customFormat="1" x14ac:dyDescent="0.25">
      <c r="A22" s="30" t="s">
        <v>353</v>
      </c>
      <c r="B22" s="31" t="s">
        <v>166</v>
      </c>
      <c r="C22" s="31" t="s">
        <v>167</v>
      </c>
      <c r="D22" s="31" t="s">
        <v>168</v>
      </c>
      <c r="E22" s="31" t="s">
        <v>9</v>
      </c>
      <c r="F22" s="31" t="s">
        <v>25</v>
      </c>
      <c r="G22" s="46">
        <v>21000</v>
      </c>
      <c r="H22" s="34">
        <v>40116</v>
      </c>
    </row>
    <row r="23" spans="1:9" s="24" customFormat="1" x14ac:dyDescent="0.25">
      <c r="A23" s="30" t="s">
        <v>354</v>
      </c>
      <c r="B23" s="31" t="s">
        <v>128</v>
      </c>
      <c r="C23" s="31" t="s">
        <v>129</v>
      </c>
      <c r="D23" s="31" t="s">
        <v>130</v>
      </c>
      <c r="E23" s="31" t="s">
        <v>9</v>
      </c>
      <c r="F23" s="31" t="s">
        <v>25</v>
      </c>
      <c r="G23" s="46">
        <v>1000</v>
      </c>
      <c r="H23" s="34">
        <v>40094</v>
      </c>
    </row>
    <row r="24" spans="1:9" s="24" customFormat="1" x14ac:dyDescent="0.25">
      <c r="A24" s="30" t="s">
        <v>355</v>
      </c>
      <c r="B24" s="31" t="s">
        <v>171</v>
      </c>
      <c r="C24" s="31" t="s">
        <v>172</v>
      </c>
      <c r="D24" s="31" t="s">
        <v>165</v>
      </c>
      <c r="E24" s="31" t="s">
        <v>9</v>
      </c>
      <c r="F24" s="31" t="s">
        <v>25</v>
      </c>
      <c r="G24" s="46">
        <v>2000</v>
      </c>
      <c r="H24" s="34">
        <v>40116</v>
      </c>
    </row>
    <row r="25" spans="1:9" s="24" customFormat="1" x14ac:dyDescent="0.25">
      <c r="A25" s="30" t="s">
        <v>356</v>
      </c>
      <c r="B25" s="31" t="s">
        <v>163</v>
      </c>
      <c r="C25" s="31" t="s">
        <v>164</v>
      </c>
      <c r="D25" s="31" t="s">
        <v>165</v>
      </c>
      <c r="E25" s="31" t="s">
        <v>9</v>
      </c>
      <c r="F25" s="31" t="s">
        <v>25</v>
      </c>
      <c r="G25" s="46">
        <v>7000</v>
      </c>
      <c r="H25" s="34">
        <v>40114</v>
      </c>
    </row>
    <row r="26" spans="1:9" s="24" customFormat="1" x14ac:dyDescent="0.25">
      <c r="A26" s="30" t="s">
        <v>357</v>
      </c>
      <c r="B26" s="31" t="s">
        <v>174</v>
      </c>
      <c r="C26" s="31" t="s">
        <v>175</v>
      </c>
      <c r="D26" s="31" t="s">
        <v>20</v>
      </c>
      <c r="E26" s="31" t="s">
        <v>9</v>
      </c>
      <c r="F26" s="31" t="s">
        <v>25</v>
      </c>
      <c r="G26" s="46">
        <v>3000</v>
      </c>
      <c r="H26" s="34">
        <v>40186</v>
      </c>
    </row>
    <row r="27" spans="1:9" s="24" customFormat="1" x14ac:dyDescent="0.25">
      <c r="A27" s="30" t="s">
        <v>358</v>
      </c>
      <c r="B27" s="31" t="s">
        <v>114</v>
      </c>
      <c r="C27" s="31" t="s">
        <v>115</v>
      </c>
      <c r="D27" s="31" t="s">
        <v>13</v>
      </c>
      <c r="E27" s="31" t="s">
        <v>14</v>
      </c>
      <c r="F27" s="31" t="s">
        <v>44</v>
      </c>
      <c r="G27" s="46">
        <v>54000</v>
      </c>
      <c r="H27" s="34">
        <v>40165</v>
      </c>
    </row>
    <row r="28" spans="1:9" s="24" customFormat="1" x14ac:dyDescent="0.25">
      <c r="A28" s="30" t="s">
        <v>359</v>
      </c>
      <c r="B28" s="31" t="s">
        <v>124</v>
      </c>
      <c r="C28" s="31" t="s">
        <v>125</v>
      </c>
      <c r="D28" s="31" t="s">
        <v>13</v>
      </c>
      <c r="E28" s="31" t="s">
        <v>9</v>
      </c>
      <c r="F28" s="31" t="s">
        <v>25</v>
      </c>
      <c r="G28" s="46">
        <v>2000</v>
      </c>
      <c r="H28" s="34">
        <v>40094</v>
      </c>
    </row>
    <row r="29" spans="1:9" s="24" customFormat="1" x14ac:dyDescent="0.25">
      <c r="A29" s="30" t="s">
        <v>360</v>
      </c>
      <c r="B29" s="31" t="s">
        <v>151</v>
      </c>
      <c r="C29" s="31" t="s">
        <v>152</v>
      </c>
      <c r="D29" s="31" t="s">
        <v>153</v>
      </c>
      <c r="E29" s="31" t="s">
        <v>14</v>
      </c>
      <c r="F29" s="31" t="s">
        <v>25</v>
      </c>
      <c r="G29" s="46">
        <v>5000</v>
      </c>
      <c r="H29" s="34">
        <v>40112</v>
      </c>
      <c r="I29" s="32"/>
    </row>
    <row r="30" spans="1:9" s="24" customFormat="1" x14ac:dyDescent="0.25">
      <c r="A30" s="30" t="s">
        <v>361</v>
      </c>
      <c r="B30" s="31" t="s">
        <v>136</v>
      </c>
      <c r="C30" s="31" t="s">
        <v>137</v>
      </c>
      <c r="D30" s="31" t="s">
        <v>138</v>
      </c>
      <c r="E30" s="31" t="s">
        <v>9</v>
      </c>
      <c r="F30" s="31" t="s">
        <v>25</v>
      </c>
      <c r="G30" s="46">
        <v>2000</v>
      </c>
      <c r="H30" s="34">
        <v>40112</v>
      </c>
      <c r="I30" s="33"/>
    </row>
    <row r="31" spans="1:9" s="24" customFormat="1" x14ac:dyDescent="0.25">
      <c r="A31" s="30" t="s">
        <v>362</v>
      </c>
      <c r="B31" s="31" t="s">
        <v>134</v>
      </c>
      <c r="C31" s="31" t="s">
        <v>135</v>
      </c>
      <c r="D31" s="31" t="s">
        <v>12</v>
      </c>
      <c r="E31" s="31" t="s">
        <v>9</v>
      </c>
      <c r="F31" s="31" t="s">
        <v>25</v>
      </c>
      <c r="G31" s="46">
        <v>3500</v>
      </c>
      <c r="H31" s="34">
        <v>40112</v>
      </c>
    </row>
    <row r="32" spans="1:9" s="24" customFormat="1" x14ac:dyDescent="0.25">
      <c r="A32" s="30" t="s">
        <v>363</v>
      </c>
      <c r="B32" s="31" t="s">
        <v>116</v>
      </c>
      <c r="C32" s="31" t="s">
        <v>117</v>
      </c>
      <c r="D32" s="31" t="s">
        <v>12</v>
      </c>
      <c r="E32" s="31" t="s">
        <v>9</v>
      </c>
      <c r="F32" s="31" t="s">
        <v>25</v>
      </c>
      <c r="G32" s="46">
        <v>33750</v>
      </c>
      <c r="H32" s="34">
        <v>40094</v>
      </c>
    </row>
    <row r="33" spans="1:9" s="24" customFormat="1" x14ac:dyDescent="0.25">
      <c r="A33" s="30" t="s">
        <v>365</v>
      </c>
      <c r="B33" s="31" t="s">
        <v>106</v>
      </c>
      <c r="C33" s="31" t="s">
        <v>107</v>
      </c>
      <c r="D33" s="31" t="s">
        <v>12</v>
      </c>
      <c r="E33" s="31" t="s">
        <v>11</v>
      </c>
      <c r="F33" s="31" t="s">
        <v>57</v>
      </c>
      <c r="G33" s="46">
        <v>42000</v>
      </c>
      <c r="H33" s="34">
        <v>40361</v>
      </c>
      <c r="I33" s="33"/>
    </row>
    <row r="34" spans="1:9" s="24" customFormat="1" x14ac:dyDescent="0.25">
      <c r="A34" s="30" t="s">
        <v>364</v>
      </c>
      <c r="B34" s="31" t="s">
        <v>156</v>
      </c>
      <c r="C34" s="31" t="s">
        <v>157</v>
      </c>
      <c r="D34" s="31" t="s">
        <v>158</v>
      </c>
      <c r="E34" s="31" t="s">
        <v>9</v>
      </c>
      <c r="F34" s="31" t="s">
        <v>25</v>
      </c>
      <c r="G34" s="46">
        <v>3000</v>
      </c>
      <c r="H34" s="34">
        <v>40112</v>
      </c>
      <c r="I34" s="33"/>
    </row>
  </sheetData>
  <mergeCells count="1">
    <mergeCell ref="A1:H1"/>
  </mergeCells>
  <pageMargins left="0.7" right="0.7" top="0.75" bottom="0.75" header="0.3" footer="0.3"/>
  <pageSetup scale="85" fitToHeight="0" orientation="landscape"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zoomScaleNormal="100" workbookViewId="0">
      <selection sqref="A1:H1"/>
    </sheetView>
  </sheetViews>
  <sheetFormatPr defaultRowHeight="15" x14ac:dyDescent="0.25"/>
  <cols>
    <col min="1" max="1" width="9" style="4" bestFit="1" customWidth="1"/>
    <col min="2" max="2" width="58.28515625" bestFit="1" customWidth="1"/>
    <col min="3" max="3" width="16" bestFit="1" customWidth="1"/>
    <col min="4" max="4" width="5.7109375" bestFit="1" customWidth="1"/>
    <col min="5" max="5" width="12.42578125" bestFit="1" customWidth="1"/>
    <col min="6" max="6" width="20.42578125" bestFit="1" customWidth="1"/>
    <col min="7" max="7" width="12.42578125" style="35" bestFit="1" customWidth="1"/>
    <col min="8" max="8" width="10.7109375" style="35" bestFit="1" customWidth="1"/>
  </cols>
  <sheetData>
    <row r="1" spans="1:8" ht="15.75" x14ac:dyDescent="0.25">
      <c r="A1" s="92" t="s">
        <v>469</v>
      </c>
      <c r="B1" s="93"/>
      <c r="C1" s="93"/>
      <c r="D1" s="93"/>
      <c r="E1" s="93"/>
      <c r="F1" s="93"/>
      <c r="G1" s="93"/>
      <c r="H1" s="94"/>
    </row>
    <row r="2" spans="1:8" s="38" customFormat="1" ht="43.5" x14ac:dyDescent="0.25">
      <c r="A2" s="36" t="s">
        <v>0</v>
      </c>
      <c r="B2" s="37" t="s">
        <v>101</v>
      </c>
      <c r="C2" s="37" t="s">
        <v>102</v>
      </c>
      <c r="D2" s="37" t="s">
        <v>103</v>
      </c>
      <c r="E2" s="37" t="s">
        <v>104</v>
      </c>
      <c r="F2" s="48" t="s">
        <v>105</v>
      </c>
      <c r="G2" s="49" t="s">
        <v>470</v>
      </c>
      <c r="H2" s="39" t="s">
        <v>468</v>
      </c>
    </row>
    <row r="3" spans="1:8" x14ac:dyDescent="0.25">
      <c r="A3" s="30" t="s">
        <v>443</v>
      </c>
      <c r="B3" s="31" t="s">
        <v>188</v>
      </c>
      <c r="C3" s="31" t="s">
        <v>189</v>
      </c>
      <c r="D3" s="31" t="s">
        <v>190</v>
      </c>
      <c r="E3" s="31" t="s">
        <v>11</v>
      </c>
      <c r="F3" s="50" t="s">
        <v>25</v>
      </c>
      <c r="G3" s="46">
        <v>5000</v>
      </c>
      <c r="H3" s="34">
        <v>40539</v>
      </c>
    </row>
    <row r="4" spans="1:8" x14ac:dyDescent="0.25">
      <c r="A4" s="30" t="s">
        <v>444</v>
      </c>
      <c r="B4" s="31" t="s">
        <v>181</v>
      </c>
      <c r="C4" s="31" t="s">
        <v>182</v>
      </c>
      <c r="D4" s="31" t="s">
        <v>183</v>
      </c>
      <c r="E4" s="31" t="s">
        <v>9</v>
      </c>
      <c r="F4" s="50" t="s">
        <v>25</v>
      </c>
      <c r="G4" s="46">
        <v>4000</v>
      </c>
      <c r="H4" s="34">
        <v>40539</v>
      </c>
    </row>
    <row r="5" spans="1:8" x14ac:dyDescent="0.25">
      <c r="A5" s="30" t="s">
        <v>445</v>
      </c>
      <c r="B5" s="31" t="s">
        <v>204</v>
      </c>
      <c r="C5" s="31" t="s">
        <v>205</v>
      </c>
      <c r="D5" s="31" t="s">
        <v>183</v>
      </c>
      <c r="E5" s="31" t="s">
        <v>9</v>
      </c>
      <c r="F5" s="50" t="s">
        <v>25</v>
      </c>
      <c r="G5" s="46">
        <v>5000</v>
      </c>
      <c r="H5" s="34">
        <v>40598</v>
      </c>
    </row>
    <row r="6" spans="1:8" s="53" customFormat="1" x14ac:dyDescent="0.25">
      <c r="A6" s="51" t="s">
        <v>416</v>
      </c>
      <c r="B6" s="50" t="s">
        <v>258</v>
      </c>
      <c r="C6" s="50" t="s">
        <v>259</v>
      </c>
      <c r="D6" s="50" t="s">
        <v>133</v>
      </c>
      <c r="E6" s="50" t="s">
        <v>9</v>
      </c>
      <c r="F6" s="50" t="s">
        <v>231</v>
      </c>
      <c r="G6" s="46">
        <v>3796000</v>
      </c>
      <c r="H6" s="52">
        <v>40714</v>
      </c>
    </row>
    <row r="7" spans="1:8" x14ac:dyDescent="0.25">
      <c r="A7" s="30" t="s">
        <v>446</v>
      </c>
      <c r="B7" s="31" t="s">
        <v>208</v>
      </c>
      <c r="C7" s="31" t="s">
        <v>209</v>
      </c>
      <c r="D7" s="31" t="s">
        <v>19</v>
      </c>
      <c r="E7" s="31" t="s">
        <v>9</v>
      </c>
      <c r="F7" s="50" t="s">
        <v>25</v>
      </c>
      <c r="G7" s="46">
        <v>7000</v>
      </c>
      <c r="H7" s="34">
        <v>40599</v>
      </c>
    </row>
    <row r="8" spans="1:8" x14ac:dyDescent="0.25">
      <c r="A8" s="30" t="s">
        <v>447</v>
      </c>
      <c r="B8" s="31" t="s">
        <v>220</v>
      </c>
      <c r="C8" s="31" t="s">
        <v>221</v>
      </c>
      <c r="D8" s="31" t="s">
        <v>19</v>
      </c>
      <c r="E8" s="31" t="s">
        <v>9</v>
      </c>
      <c r="F8" s="50" t="s">
        <v>25</v>
      </c>
      <c r="G8" s="46">
        <v>3000</v>
      </c>
      <c r="H8" s="34">
        <v>40626</v>
      </c>
    </row>
    <row r="9" spans="1:8" x14ac:dyDescent="0.25">
      <c r="A9" s="30" t="s">
        <v>448</v>
      </c>
      <c r="B9" s="31" t="s">
        <v>224</v>
      </c>
      <c r="C9" s="31" t="s">
        <v>225</v>
      </c>
      <c r="D9" s="31" t="s">
        <v>26</v>
      </c>
      <c r="E9" s="31" t="s">
        <v>9</v>
      </c>
      <c r="F9" s="50" t="s">
        <v>25</v>
      </c>
      <c r="G9" s="46">
        <v>2000</v>
      </c>
      <c r="H9" s="34">
        <v>40802</v>
      </c>
    </row>
    <row r="10" spans="1:8" x14ac:dyDescent="0.25">
      <c r="A10" s="30" t="s">
        <v>430</v>
      </c>
      <c r="B10" s="31" t="s">
        <v>200</v>
      </c>
      <c r="C10" s="31" t="s">
        <v>201</v>
      </c>
      <c r="D10" s="31" t="s">
        <v>130</v>
      </c>
      <c r="E10" s="31" t="s">
        <v>9</v>
      </c>
      <c r="F10" s="50" t="s">
        <v>25</v>
      </c>
      <c r="G10" s="46">
        <v>1750</v>
      </c>
      <c r="H10" s="34">
        <v>40585</v>
      </c>
    </row>
    <row r="11" spans="1:8" x14ac:dyDescent="0.25">
      <c r="A11" s="30" t="s">
        <v>449</v>
      </c>
      <c r="B11" s="31" t="s">
        <v>214</v>
      </c>
      <c r="C11" s="31" t="s">
        <v>215</v>
      </c>
      <c r="D11" s="31" t="s">
        <v>216</v>
      </c>
      <c r="E11" s="31" t="s">
        <v>11</v>
      </c>
      <c r="F11" s="50" t="s">
        <v>25</v>
      </c>
      <c r="G11" s="46">
        <v>7500</v>
      </c>
      <c r="H11" s="34">
        <v>40605</v>
      </c>
    </row>
    <row r="12" spans="1:8" x14ac:dyDescent="0.25">
      <c r="A12" s="30" t="s">
        <v>450</v>
      </c>
      <c r="B12" s="31" t="s">
        <v>191</v>
      </c>
      <c r="C12" s="31" t="s">
        <v>192</v>
      </c>
      <c r="D12" s="31" t="s">
        <v>10</v>
      </c>
      <c r="E12" s="31" t="s">
        <v>9</v>
      </c>
      <c r="F12" s="50" t="s">
        <v>25</v>
      </c>
      <c r="G12" s="46">
        <v>14000</v>
      </c>
      <c r="H12" s="34">
        <v>40554</v>
      </c>
    </row>
    <row r="13" spans="1:8" x14ac:dyDescent="0.25">
      <c r="A13" s="30" t="s">
        <v>432</v>
      </c>
      <c r="B13" s="31" t="s">
        <v>198</v>
      </c>
      <c r="C13" s="31" t="s">
        <v>199</v>
      </c>
      <c r="D13" s="31" t="s">
        <v>36</v>
      </c>
      <c r="E13" s="31" t="s">
        <v>9</v>
      </c>
      <c r="F13" s="50" t="s">
        <v>25</v>
      </c>
      <c r="G13" s="46">
        <v>7000</v>
      </c>
      <c r="H13" s="34">
        <v>40585</v>
      </c>
    </row>
    <row r="14" spans="1:8" x14ac:dyDescent="0.25">
      <c r="A14" s="30" t="s">
        <v>451</v>
      </c>
      <c r="B14" s="31" t="s">
        <v>184</v>
      </c>
      <c r="C14" s="31" t="s">
        <v>50</v>
      </c>
      <c r="D14" s="31" t="s">
        <v>18</v>
      </c>
      <c r="E14" s="31" t="s">
        <v>9</v>
      </c>
      <c r="F14" s="50" t="s">
        <v>25</v>
      </c>
      <c r="G14" s="46">
        <v>5000</v>
      </c>
      <c r="H14" s="34">
        <v>40539</v>
      </c>
    </row>
    <row r="15" spans="1:8" x14ac:dyDescent="0.25">
      <c r="A15" s="30" t="s">
        <v>452</v>
      </c>
      <c r="B15" s="31" t="s">
        <v>222</v>
      </c>
      <c r="C15" s="31" t="s">
        <v>223</v>
      </c>
      <c r="D15" s="31" t="s">
        <v>18</v>
      </c>
      <c r="E15" s="31" t="s">
        <v>9</v>
      </c>
      <c r="F15" s="50" t="s">
        <v>25</v>
      </c>
      <c r="G15" s="46">
        <v>28000</v>
      </c>
      <c r="H15" s="34">
        <v>40690</v>
      </c>
    </row>
    <row r="16" spans="1:8" x14ac:dyDescent="0.25">
      <c r="A16" s="30" t="s">
        <v>453</v>
      </c>
      <c r="B16" s="31" t="s">
        <v>206</v>
      </c>
      <c r="C16" s="31" t="s">
        <v>207</v>
      </c>
      <c r="D16" s="31" t="s">
        <v>18</v>
      </c>
      <c r="E16" s="31" t="s">
        <v>11</v>
      </c>
      <c r="F16" s="50" t="s">
        <v>25</v>
      </c>
      <c r="G16" s="46">
        <v>3500</v>
      </c>
      <c r="H16" s="34">
        <v>40599</v>
      </c>
    </row>
    <row r="17" spans="1:8" x14ac:dyDescent="0.25">
      <c r="A17" s="30" t="s">
        <v>454</v>
      </c>
      <c r="B17" s="31" t="s">
        <v>108</v>
      </c>
      <c r="C17" s="31" t="s">
        <v>109</v>
      </c>
      <c r="D17" s="31" t="s">
        <v>18</v>
      </c>
      <c r="E17" s="31" t="s">
        <v>11</v>
      </c>
      <c r="F17" s="50" t="s">
        <v>57</v>
      </c>
      <c r="G17" s="46">
        <v>195000</v>
      </c>
      <c r="H17" s="34">
        <v>40647</v>
      </c>
    </row>
    <row r="18" spans="1:8" x14ac:dyDescent="0.25">
      <c r="A18" s="30" t="s">
        <v>414</v>
      </c>
      <c r="B18" s="31" t="s">
        <v>185</v>
      </c>
      <c r="C18" s="31" t="s">
        <v>186</v>
      </c>
      <c r="D18" s="31" t="s">
        <v>165</v>
      </c>
      <c r="E18" s="31" t="s">
        <v>14</v>
      </c>
      <c r="F18" s="50" t="s">
        <v>25</v>
      </c>
      <c r="G18" s="46">
        <v>3000</v>
      </c>
      <c r="H18" s="34">
        <v>40539</v>
      </c>
    </row>
    <row r="19" spans="1:8" x14ac:dyDescent="0.25">
      <c r="A19" s="30" t="s">
        <v>455</v>
      </c>
      <c r="B19" s="31" t="s">
        <v>110</v>
      </c>
      <c r="C19" s="31" t="s">
        <v>111</v>
      </c>
      <c r="D19" s="31" t="s">
        <v>112</v>
      </c>
      <c r="E19" s="31" t="s">
        <v>9</v>
      </c>
      <c r="F19" s="50" t="s">
        <v>113</v>
      </c>
      <c r="G19" s="46">
        <v>1072500</v>
      </c>
      <c r="H19" s="34">
        <v>40472</v>
      </c>
    </row>
    <row r="20" spans="1:8" x14ac:dyDescent="0.25">
      <c r="A20" s="30" t="s">
        <v>456</v>
      </c>
      <c r="B20" s="31" t="s">
        <v>178</v>
      </c>
      <c r="C20" s="31" t="s">
        <v>179</v>
      </c>
      <c r="D20" s="31" t="s">
        <v>180</v>
      </c>
      <c r="E20" s="31" t="s">
        <v>11</v>
      </c>
      <c r="F20" s="50" t="s">
        <v>25</v>
      </c>
      <c r="G20" s="46">
        <v>1000</v>
      </c>
      <c r="H20" s="34">
        <v>40511</v>
      </c>
    </row>
    <row r="21" spans="1:8" x14ac:dyDescent="0.25">
      <c r="A21" s="30" t="s">
        <v>359</v>
      </c>
      <c r="B21" s="31" t="s">
        <v>124</v>
      </c>
      <c r="C21" s="31" t="s">
        <v>125</v>
      </c>
      <c r="D21" s="31" t="s">
        <v>13</v>
      </c>
      <c r="E21" s="31" t="s">
        <v>9</v>
      </c>
      <c r="F21" s="50" t="s">
        <v>25</v>
      </c>
      <c r="G21" s="46">
        <v>2000</v>
      </c>
      <c r="H21" s="34">
        <v>40539</v>
      </c>
    </row>
    <row r="22" spans="1:8" x14ac:dyDescent="0.25">
      <c r="A22" s="30" t="s">
        <v>457</v>
      </c>
      <c r="B22" s="31" t="s">
        <v>217</v>
      </c>
      <c r="C22" s="31" t="s">
        <v>218</v>
      </c>
      <c r="D22" s="31" t="s">
        <v>138</v>
      </c>
      <c r="E22" s="31" t="s">
        <v>9</v>
      </c>
      <c r="F22" s="50" t="s">
        <v>25</v>
      </c>
      <c r="G22" s="46">
        <v>14000</v>
      </c>
      <c r="H22" s="34">
        <v>40605</v>
      </c>
    </row>
    <row r="23" spans="1:8" x14ac:dyDescent="0.25">
      <c r="A23" s="30" t="s">
        <v>458</v>
      </c>
      <c r="B23" s="31" t="s">
        <v>176</v>
      </c>
      <c r="C23" s="31" t="s">
        <v>177</v>
      </c>
      <c r="D23" s="31" t="s">
        <v>12</v>
      </c>
      <c r="E23" s="31" t="s">
        <v>9</v>
      </c>
      <c r="F23" s="50" t="s">
        <v>25</v>
      </c>
      <c r="G23" s="46">
        <v>1000</v>
      </c>
      <c r="H23" s="34">
        <v>40501</v>
      </c>
    </row>
    <row r="24" spans="1:8" x14ac:dyDescent="0.25">
      <c r="A24" s="30" t="s">
        <v>459</v>
      </c>
      <c r="B24" s="31" t="s">
        <v>213</v>
      </c>
      <c r="C24" s="31" t="s">
        <v>194</v>
      </c>
      <c r="D24" s="31" t="s">
        <v>12</v>
      </c>
      <c r="E24" s="31" t="s">
        <v>9</v>
      </c>
      <c r="F24" s="50" t="s">
        <v>25</v>
      </c>
      <c r="G24" s="46">
        <v>1750</v>
      </c>
      <c r="H24" s="34">
        <v>40605</v>
      </c>
    </row>
    <row r="25" spans="1:8" x14ac:dyDescent="0.25">
      <c r="A25" s="30" t="s">
        <v>460</v>
      </c>
      <c r="B25" s="31" t="s">
        <v>193</v>
      </c>
      <c r="C25" s="31" t="s">
        <v>194</v>
      </c>
      <c r="D25" s="31" t="s">
        <v>12</v>
      </c>
      <c r="E25" s="31" t="s">
        <v>9</v>
      </c>
      <c r="F25" s="50" t="s">
        <v>25</v>
      </c>
      <c r="G25" s="46">
        <v>5000</v>
      </c>
      <c r="H25" s="34">
        <v>40556</v>
      </c>
    </row>
    <row r="26" spans="1:8" x14ac:dyDescent="0.25">
      <c r="A26" s="30" t="s">
        <v>461</v>
      </c>
      <c r="B26" s="31" t="s">
        <v>187</v>
      </c>
      <c r="C26" s="31" t="s">
        <v>135</v>
      </c>
      <c r="D26" s="31" t="s">
        <v>12</v>
      </c>
      <c r="E26" s="31" t="s">
        <v>9</v>
      </c>
      <c r="F26" s="50" t="s">
        <v>25</v>
      </c>
      <c r="G26" s="46">
        <v>5000</v>
      </c>
      <c r="H26" s="34">
        <v>40539</v>
      </c>
    </row>
    <row r="27" spans="1:8" x14ac:dyDescent="0.25">
      <c r="A27" s="30" t="s">
        <v>462</v>
      </c>
      <c r="B27" s="31" t="s">
        <v>219</v>
      </c>
      <c r="C27" s="31" t="s">
        <v>117</v>
      </c>
      <c r="D27" s="31" t="s">
        <v>12</v>
      </c>
      <c r="E27" s="31" t="s">
        <v>9</v>
      </c>
      <c r="F27" s="50" t="s">
        <v>25</v>
      </c>
      <c r="G27" s="46">
        <v>2000</v>
      </c>
      <c r="H27" s="34">
        <v>40617</v>
      </c>
    </row>
    <row r="28" spans="1:8" x14ac:dyDescent="0.25">
      <c r="A28" s="30" t="s">
        <v>463</v>
      </c>
      <c r="B28" s="31" t="s">
        <v>210</v>
      </c>
      <c r="C28" s="31" t="s">
        <v>211</v>
      </c>
      <c r="D28" s="31" t="s">
        <v>212</v>
      </c>
      <c r="E28" s="31" t="s">
        <v>9</v>
      </c>
      <c r="F28" s="50" t="s">
        <v>25</v>
      </c>
      <c r="G28" s="46">
        <v>2000</v>
      </c>
      <c r="H28" s="34">
        <v>40603</v>
      </c>
    </row>
    <row r="29" spans="1:8" x14ac:dyDescent="0.25">
      <c r="A29" s="30" t="s">
        <v>464</v>
      </c>
      <c r="B29" s="31" t="s">
        <v>202</v>
      </c>
      <c r="C29" s="31" t="s">
        <v>203</v>
      </c>
      <c r="D29" s="31" t="s">
        <v>197</v>
      </c>
      <c r="E29" s="31" t="s">
        <v>14</v>
      </c>
      <c r="F29" s="50" t="s">
        <v>25</v>
      </c>
      <c r="G29" s="46">
        <v>1000</v>
      </c>
      <c r="H29" s="34">
        <v>40591</v>
      </c>
    </row>
    <row r="30" spans="1:8" x14ac:dyDescent="0.25">
      <c r="A30" s="30" t="s">
        <v>465</v>
      </c>
      <c r="B30" s="31" t="s">
        <v>195</v>
      </c>
      <c r="C30" s="31" t="s">
        <v>196</v>
      </c>
      <c r="D30" s="31" t="s">
        <v>197</v>
      </c>
      <c r="E30" s="31" t="s">
        <v>9</v>
      </c>
      <c r="F30" s="50" t="s">
        <v>25</v>
      </c>
      <c r="G30" s="46">
        <v>14000</v>
      </c>
      <c r="H30" s="34">
        <v>40574</v>
      </c>
    </row>
    <row r="32" spans="1:8" x14ac:dyDescent="0.25">
      <c r="G32" s="43"/>
    </row>
  </sheetData>
  <mergeCells count="1">
    <mergeCell ref="A1:H1"/>
  </mergeCells>
  <pageMargins left="0.7" right="0.7" top="0.75" bottom="0.75" header="0.3" footer="0.3"/>
  <pageSetup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8"/>
  <sheetViews>
    <sheetView workbookViewId="0">
      <selection sqref="A1:H1"/>
    </sheetView>
  </sheetViews>
  <sheetFormatPr defaultRowHeight="15" x14ac:dyDescent="0.25"/>
  <cols>
    <col min="1" max="1" width="9.140625" style="4" customWidth="1"/>
    <col min="2" max="2" width="42.5703125" bestFit="1" customWidth="1"/>
    <col min="3" max="3" width="15.5703125" bestFit="1" customWidth="1"/>
    <col min="4" max="4" width="5.7109375" bestFit="1" customWidth="1"/>
    <col min="5" max="5" width="12.42578125" bestFit="1" customWidth="1"/>
    <col min="6" max="6" width="21.5703125" style="53" bestFit="1" customWidth="1"/>
    <col min="7" max="7" width="14" style="47" bestFit="1" customWidth="1"/>
    <col min="8" max="8" width="10.140625" bestFit="1" customWidth="1"/>
  </cols>
  <sheetData>
    <row r="1" spans="1:9" ht="15.75" x14ac:dyDescent="0.25">
      <c r="A1" s="92" t="s">
        <v>471</v>
      </c>
      <c r="B1" s="95"/>
      <c r="C1" s="95"/>
      <c r="D1" s="95"/>
      <c r="E1" s="95"/>
      <c r="F1" s="95"/>
      <c r="G1" s="95"/>
      <c r="H1" s="96"/>
    </row>
    <row r="2" spans="1:9" s="2" customFormat="1" ht="43.5" x14ac:dyDescent="0.25">
      <c r="A2" s="36" t="s">
        <v>0</v>
      </c>
      <c r="B2" s="37" t="s">
        <v>101</v>
      </c>
      <c r="C2" s="37" t="s">
        <v>102</v>
      </c>
      <c r="D2" s="37" t="s">
        <v>103</v>
      </c>
      <c r="E2" s="37" t="s">
        <v>104</v>
      </c>
      <c r="F2" s="48" t="s">
        <v>105</v>
      </c>
      <c r="G2" s="49" t="s">
        <v>470</v>
      </c>
      <c r="H2" s="39" t="s">
        <v>468</v>
      </c>
    </row>
    <row r="3" spans="1:9" x14ac:dyDescent="0.25">
      <c r="A3" s="30" t="s">
        <v>417</v>
      </c>
      <c r="B3" s="31" t="s">
        <v>263</v>
      </c>
      <c r="C3" s="31" t="s">
        <v>264</v>
      </c>
      <c r="D3" s="31" t="s">
        <v>19</v>
      </c>
      <c r="E3" s="31" t="s">
        <v>9</v>
      </c>
      <c r="F3" s="50" t="s">
        <v>25</v>
      </c>
      <c r="G3" s="46">
        <v>15000</v>
      </c>
      <c r="H3" s="34">
        <v>40829</v>
      </c>
    </row>
    <row r="4" spans="1:9" x14ac:dyDescent="0.25">
      <c r="A4" s="30" t="s">
        <v>418</v>
      </c>
      <c r="B4" s="31" t="s">
        <v>279</v>
      </c>
      <c r="C4" s="31" t="s">
        <v>280</v>
      </c>
      <c r="D4" s="31" t="s">
        <v>17</v>
      </c>
      <c r="E4" s="31" t="s">
        <v>9</v>
      </c>
      <c r="F4" s="50" t="s">
        <v>25</v>
      </c>
      <c r="G4" s="46">
        <v>3500</v>
      </c>
      <c r="H4" s="34">
        <v>40933</v>
      </c>
      <c r="I4" s="3"/>
    </row>
    <row r="5" spans="1:9" x14ac:dyDescent="0.25">
      <c r="A5" s="30" t="s">
        <v>419</v>
      </c>
      <c r="B5" s="31" t="s">
        <v>271</v>
      </c>
      <c r="C5" s="31" t="s">
        <v>272</v>
      </c>
      <c r="D5" s="31" t="s">
        <v>21</v>
      </c>
      <c r="E5" s="31" t="s">
        <v>9</v>
      </c>
      <c r="F5" s="50" t="s">
        <v>25</v>
      </c>
      <c r="G5" s="46">
        <v>17500</v>
      </c>
      <c r="H5" s="34">
        <v>40897</v>
      </c>
    </row>
    <row r="6" spans="1:9" x14ac:dyDescent="0.25">
      <c r="A6" s="30" t="s">
        <v>420</v>
      </c>
      <c r="B6" s="31" t="s">
        <v>293</v>
      </c>
      <c r="C6" s="31" t="s">
        <v>294</v>
      </c>
      <c r="D6" s="31" t="s">
        <v>21</v>
      </c>
      <c r="E6" s="31" t="s">
        <v>9</v>
      </c>
      <c r="F6" s="50" t="s">
        <v>25</v>
      </c>
      <c r="G6" s="46">
        <v>7000</v>
      </c>
      <c r="H6" s="34">
        <v>41150</v>
      </c>
    </row>
    <row r="7" spans="1:9" x14ac:dyDescent="0.25">
      <c r="A7" s="30" t="s">
        <v>421</v>
      </c>
      <c r="B7" s="31" t="s">
        <v>277</v>
      </c>
      <c r="C7" s="31" t="s">
        <v>278</v>
      </c>
      <c r="D7" s="31" t="s">
        <v>8</v>
      </c>
      <c r="E7" s="31" t="s">
        <v>9</v>
      </c>
      <c r="F7" s="50" t="s">
        <v>25</v>
      </c>
      <c r="G7" s="46">
        <v>5000</v>
      </c>
      <c r="H7" s="34">
        <v>40928</v>
      </c>
    </row>
    <row r="8" spans="1:9" x14ac:dyDescent="0.25">
      <c r="A8" s="30" t="s">
        <v>422</v>
      </c>
      <c r="B8" s="31" t="s">
        <v>287</v>
      </c>
      <c r="C8" s="31" t="s">
        <v>288</v>
      </c>
      <c r="D8" s="31" t="s">
        <v>8</v>
      </c>
      <c r="E8" s="31" t="s">
        <v>11</v>
      </c>
      <c r="F8" s="50" t="s">
        <v>25</v>
      </c>
      <c r="G8" s="46">
        <v>3000</v>
      </c>
      <c r="H8" s="34">
        <v>40947</v>
      </c>
    </row>
    <row r="9" spans="1:9" x14ac:dyDescent="0.25">
      <c r="A9" s="30" t="s">
        <v>423</v>
      </c>
      <c r="B9" s="31" t="s">
        <v>270</v>
      </c>
      <c r="C9" s="31" t="s">
        <v>49</v>
      </c>
      <c r="D9" s="31" t="s">
        <v>26</v>
      </c>
      <c r="E9" s="31" t="s">
        <v>14</v>
      </c>
      <c r="F9" s="50" t="s">
        <v>25</v>
      </c>
      <c r="G9" s="46">
        <v>3750</v>
      </c>
      <c r="H9" s="34">
        <v>40892</v>
      </c>
    </row>
    <row r="10" spans="1:9" x14ac:dyDescent="0.25">
      <c r="A10" s="30" t="s">
        <v>424</v>
      </c>
      <c r="B10" s="31" t="s">
        <v>289</v>
      </c>
      <c r="C10" s="31" t="s">
        <v>290</v>
      </c>
      <c r="D10" s="31" t="s">
        <v>26</v>
      </c>
      <c r="E10" s="31" t="s">
        <v>11</v>
      </c>
      <c r="F10" s="50" t="s">
        <v>25</v>
      </c>
      <c r="G10" s="46">
        <v>2000</v>
      </c>
      <c r="H10" s="34">
        <v>41143</v>
      </c>
    </row>
    <row r="11" spans="1:9" x14ac:dyDescent="0.25">
      <c r="A11" s="30" t="s">
        <v>425</v>
      </c>
      <c r="B11" s="31" t="s">
        <v>295</v>
      </c>
      <c r="C11" s="31" t="s">
        <v>296</v>
      </c>
      <c r="D11" s="31" t="s">
        <v>26</v>
      </c>
      <c r="E11" s="31" t="s">
        <v>9</v>
      </c>
      <c r="F11" s="50" t="s">
        <v>25</v>
      </c>
      <c r="G11" s="46">
        <v>500</v>
      </c>
      <c r="H11" s="34">
        <v>41166</v>
      </c>
    </row>
    <row r="12" spans="1:9" x14ac:dyDescent="0.25">
      <c r="A12" s="30" t="s">
        <v>426</v>
      </c>
      <c r="B12" s="31" t="s">
        <v>273</v>
      </c>
      <c r="C12" s="31" t="s">
        <v>274</v>
      </c>
      <c r="D12" s="31" t="s">
        <v>40</v>
      </c>
      <c r="E12" s="31" t="s">
        <v>9</v>
      </c>
      <c r="F12" s="50" t="s">
        <v>25</v>
      </c>
      <c r="G12" s="46">
        <v>1000</v>
      </c>
      <c r="H12" s="34">
        <v>40899</v>
      </c>
    </row>
    <row r="13" spans="1:9" x14ac:dyDescent="0.25">
      <c r="A13" s="30" t="s">
        <v>427</v>
      </c>
      <c r="B13" s="31" t="s">
        <v>281</v>
      </c>
      <c r="C13" s="31" t="s">
        <v>282</v>
      </c>
      <c r="D13" s="31" t="s">
        <v>40</v>
      </c>
      <c r="E13" s="31" t="s">
        <v>9</v>
      </c>
      <c r="F13" s="50" t="s">
        <v>25</v>
      </c>
      <c r="G13" s="46">
        <v>7000</v>
      </c>
      <c r="H13" s="34">
        <v>40935</v>
      </c>
    </row>
    <row r="14" spans="1:9" x14ac:dyDescent="0.25">
      <c r="A14" s="30" t="s">
        <v>428</v>
      </c>
      <c r="B14" s="31" t="s">
        <v>291</v>
      </c>
      <c r="C14" s="31" t="s">
        <v>292</v>
      </c>
      <c r="D14" s="31" t="s">
        <v>168</v>
      </c>
      <c r="E14" s="31" t="s">
        <v>9</v>
      </c>
      <c r="F14" s="50" t="s">
        <v>25</v>
      </c>
      <c r="G14" s="46">
        <v>1750</v>
      </c>
      <c r="H14" s="34">
        <v>41145</v>
      </c>
    </row>
    <row r="15" spans="1:9" x14ac:dyDescent="0.25">
      <c r="A15" s="30" t="s">
        <v>429</v>
      </c>
      <c r="B15" s="31" t="s">
        <v>265</v>
      </c>
      <c r="C15" s="31" t="s">
        <v>266</v>
      </c>
      <c r="D15" s="31" t="s">
        <v>24</v>
      </c>
      <c r="E15" s="31" t="s">
        <v>14</v>
      </c>
      <c r="F15" s="50" t="s">
        <v>25</v>
      </c>
      <c r="G15" s="46">
        <v>7000</v>
      </c>
      <c r="H15" s="34">
        <v>40855</v>
      </c>
    </row>
    <row r="16" spans="1:9" x14ac:dyDescent="0.25">
      <c r="A16" s="30" t="s">
        <v>430</v>
      </c>
      <c r="B16" s="31" t="s">
        <v>200</v>
      </c>
      <c r="C16" s="31" t="s">
        <v>201</v>
      </c>
      <c r="D16" s="31" t="s">
        <v>130</v>
      </c>
      <c r="E16" s="31" t="s">
        <v>9</v>
      </c>
      <c r="F16" s="50" t="s">
        <v>25</v>
      </c>
      <c r="G16" s="46">
        <v>14000</v>
      </c>
      <c r="H16" s="34">
        <v>41159</v>
      </c>
    </row>
    <row r="17" spans="1:9" x14ac:dyDescent="0.25">
      <c r="A17" s="30" t="s">
        <v>431</v>
      </c>
      <c r="B17" s="31" t="s">
        <v>267</v>
      </c>
      <c r="C17" s="31" t="s">
        <v>194</v>
      </c>
      <c r="D17" s="31" t="s">
        <v>10</v>
      </c>
      <c r="E17" s="31" t="s">
        <v>11</v>
      </c>
      <c r="F17" s="50" t="s">
        <v>25</v>
      </c>
      <c r="G17" s="46">
        <v>5000</v>
      </c>
      <c r="H17" s="34">
        <v>40879</v>
      </c>
    </row>
    <row r="18" spans="1:9" x14ac:dyDescent="0.25">
      <c r="A18" s="30" t="s">
        <v>432</v>
      </c>
      <c r="B18" s="31" t="s">
        <v>198</v>
      </c>
      <c r="C18" s="31" t="s">
        <v>199</v>
      </c>
      <c r="D18" s="31" t="s">
        <v>36</v>
      </c>
      <c r="E18" s="31" t="s">
        <v>9</v>
      </c>
      <c r="F18" s="50" t="s">
        <v>25</v>
      </c>
      <c r="G18" s="46">
        <v>12250</v>
      </c>
      <c r="H18" s="34">
        <v>40933</v>
      </c>
    </row>
    <row r="19" spans="1:9" x14ac:dyDescent="0.25">
      <c r="A19" s="30" t="s">
        <v>433</v>
      </c>
      <c r="B19" s="31" t="s">
        <v>256</v>
      </c>
      <c r="C19" s="31" t="s">
        <v>257</v>
      </c>
      <c r="D19" s="31" t="s">
        <v>18</v>
      </c>
      <c r="E19" s="31" t="s">
        <v>9</v>
      </c>
      <c r="F19" s="50" t="s">
        <v>44</v>
      </c>
      <c r="G19" s="46">
        <v>34000</v>
      </c>
      <c r="H19" s="34">
        <v>40876</v>
      </c>
    </row>
    <row r="20" spans="1:9" x14ac:dyDescent="0.25">
      <c r="A20" s="30" t="s">
        <v>434</v>
      </c>
      <c r="B20" s="31" t="s">
        <v>232</v>
      </c>
      <c r="C20" s="31" t="s">
        <v>50</v>
      </c>
      <c r="D20" s="31" t="s">
        <v>18</v>
      </c>
      <c r="E20" s="31" t="s">
        <v>9</v>
      </c>
      <c r="F20" s="50" t="s">
        <v>233</v>
      </c>
      <c r="G20" s="46">
        <v>40000</v>
      </c>
      <c r="H20" s="34">
        <v>41004</v>
      </c>
    </row>
    <row r="21" spans="1:9" x14ac:dyDescent="0.25">
      <c r="A21" s="30" t="s">
        <v>435</v>
      </c>
      <c r="B21" s="31" t="s">
        <v>234</v>
      </c>
      <c r="C21" s="31" t="s">
        <v>235</v>
      </c>
      <c r="D21" s="31" t="s">
        <v>165</v>
      </c>
      <c r="E21" s="31" t="s">
        <v>11</v>
      </c>
      <c r="F21" s="50" t="s">
        <v>57</v>
      </c>
      <c r="G21" s="46">
        <v>89000</v>
      </c>
      <c r="H21" s="34">
        <v>40912</v>
      </c>
      <c r="I21" s="5"/>
    </row>
    <row r="22" spans="1:9" x14ac:dyDescent="0.25">
      <c r="A22" s="30" t="s">
        <v>436</v>
      </c>
      <c r="B22" s="31" t="s">
        <v>275</v>
      </c>
      <c r="C22" s="31" t="s">
        <v>276</v>
      </c>
      <c r="D22" s="31" t="s">
        <v>112</v>
      </c>
      <c r="E22" s="31" t="s">
        <v>9</v>
      </c>
      <c r="F22" s="50" t="s">
        <v>25</v>
      </c>
      <c r="G22" s="46">
        <v>12500</v>
      </c>
      <c r="H22" s="34">
        <v>40899</v>
      </c>
    </row>
    <row r="23" spans="1:9" x14ac:dyDescent="0.25">
      <c r="A23" s="30" t="s">
        <v>437</v>
      </c>
      <c r="B23" s="31" t="s">
        <v>311</v>
      </c>
      <c r="C23" s="31" t="s">
        <v>179</v>
      </c>
      <c r="D23" s="31" t="s">
        <v>180</v>
      </c>
      <c r="E23" s="31" t="s">
        <v>11</v>
      </c>
      <c r="F23" s="50" t="s">
        <v>231</v>
      </c>
      <c r="G23" s="46">
        <v>550000</v>
      </c>
      <c r="H23" s="34">
        <v>40847</v>
      </c>
    </row>
    <row r="24" spans="1:9" x14ac:dyDescent="0.25">
      <c r="A24" s="30" t="s">
        <v>438</v>
      </c>
      <c r="B24" s="31" t="s">
        <v>297</v>
      </c>
      <c r="C24" s="31" t="s">
        <v>218</v>
      </c>
      <c r="D24" s="31" t="s">
        <v>138</v>
      </c>
      <c r="E24" s="31" t="s">
        <v>9</v>
      </c>
      <c r="F24" s="50" t="s">
        <v>25</v>
      </c>
      <c r="G24" s="46">
        <v>20000</v>
      </c>
      <c r="H24" s="34">
        <v>41177</v>
      </c>
    </row>
    <row r="25" spans="1:9" x14ac:dyDescent="0.25">
      <c r="A25" s="30" t="s">
        <v>439</v>
      </c>
      <c r="B25" s="31" t="s">
        <v>283</v>
      </c>
      <c r="C25" s="31" t="s">
        <v>284</v>
      </c>
      <c r="D25" s="31" t="s">
        <v>12</v>
      </c>
      <c r="E25" s="31" t="s">
        <v>9</v>
      </c>
      <c r="F25" s="50" t="s">
        <v>25</v>
      </c>
      <c r="G25" s="46">
        <v>4000</v>
      </c>
      <c r="H25" s="34">
        <v>40946</v>
      </c>
    </row>
    <row r="26" spans="1:9" x14ac:dyDescent="0.25">
      <c r="A26" s="30" t="s">
        <v>440</v>
      </c>
      <c r="B26" s="31" t="s">
        <v>236</v>
      </c>
      <c r="C26" s="31" t="s">
        <v>237</v>
      </c>
      <c r="D26" s="31" t="s">
        <v>12</v>
      </c>
      <c r="E26" s="31" t="s">
        <v>14</v>
      </c>
      <c r="F26" s="50" t="s">
        <v>57</v>
      </c>
      <c r="G26" s="46">
        <v>123500</v>
      </c>
      <c r="H26" s="34">
        <v>41115</v>
      </c>
    </row>
    <row r="27" spans="1:9" x14ac:dyDescent="0.25">
      <c r="A27" s="30" t="s">
        <v>441</v>
      </c>
      <c r="B27" s="31" t="s">
        <v>268</v>
      </c>
      <c r="C27" s="31" t="s">
        <v>269</v>
      </c>
      <c r="D27" s="31" t="s">
        <v>12</v>
      </c>
      <c r="E27" s="31" t="s">
        <v>11</v>
      </c>
      <c r="F27" s="50" t="s">
        <v>25</v>
      </c>
      <c r="G27" s="46">
        <v>16250</v>
      </c>
      <c r="H27" s="34">
        <v>40879</v>
      </c>
    </row>
    <row r="28" spans="1:9" x14ac:dyDescent="0.25">
      <c r="A28" s="30" t="s">
        <v>442</v>
      </c>
      <c r="B28" s="31" t="s">
        <v>285</v>
      </c>
      <c r="C28" s="31" t="s">
        <v>286</v>
      </c>
      <c r="D28" s="31" t="s">
        <v>212</v>
      </c>
      <c r="E28" s="31" t="s">
        <v>9</v>
      </c>
      <c r="F28" s="50" t="s">
        <v>25</v>
      </c>
      <c r="G28" s="46">
        <v>500</v>
      </c>
      <c r="H28" s="34">
        <v>40946</v>
      </c>
    </row>
    <row r="30" spans="1:9" x14ac:dyDescent="0.25">
      <c r="G30" s="53"/>
    </row>
    <row r="31" spans="1:9" x14ac:dyDescent="0.25">
      <c r="G31" s="53"/>
    </row>
    <row r="32" spans="1:9" x14ac:dyDescent="0.25">
      <c r="G32" s="53"/>
    </row>
    <row r="33" spans="7:7" x14ac:dyDescent="0.25">
      <c r="G33" s="53"/>
    </row>
    <row r="34" spans="7:7" x14ac:dyDescent="0.25">
      <c r="G34" s="53"/>
    </row>
    <row r="35" spans="7:7" x14ac:dyDescent="0.25">
      <c r="G35" s="53"/>
    </row>
    <row r="36" spans="7:7" x14ac:dyDescent="0.25">
      <c r="G36" s="53"/>
    </row>
    <row r="37" spans="7:7" x14ac:dyDescent="0.25">
      <c r="G37" s="53"/>
    </row>
    <row r="38" spans="7:7" x14ac:dyDescent="0.25">
      <c r="G38" s="53"/>
    </row>
    <row r="39" spans="7:7" x14ac:dyDescent="0.25">
      <c r="G39" s="53"/>
    </row>
    <row r="40" spans="7:7" x14ac:dyDescent="0.25">
      <c r="G40" s="53"/>
    </row>
    <row r="41" spans="7:7" x14ac:dyDescent="0.25">
      <c r="G41" s="53"/>
    </row>
    <row r="42" spans="7:7" x14ac:dyDescent="0.25">
      <c r="G42" s="53"/>
    </row>
    <row r="43" spans="7:7" x14ac:dyDescent="0.25">
      <c r="G43" s="53"/>
    </row>
    <row r="44" spans="7:7" x14ac:dyDescent="0.25">
      <c r="G44" s="53"/>
    </row>
    <row r="45" spans="7:7" x14ac:dyDescent="0.25">
      <c r="G45" s="53"/>
    </row>
    <row r="46" spans="7:7" x14ac:dyDescent="0.25">
      <c r="G46" s="53"/>
    </row>
    <row r="47" spans="7:7" x14ac:dyDescent="0.25">
      <c r="G47" s="53"/>
    </row>
    <row r="48" spans="7:7" x14ac:dyDescent="0.25">
      <c r="G48" s="53"/>
    </row>
    <row r="49" spans="7:7" x14ac:dyDescent="0.25">
      <c r="G49" s="53"/>
    </row>
    <row r="50" spans="7:7" x14ac:dyDescent="0.25">
      <c r="G50" s="53"/>
    </row>
    <row r="51" spans="7:7" x14ac:dyDescent="0.25">
      <c r="G51" s="53"/>
    </row>
    <row r="52" spans="7:7" x14ac:dyDescent="0.25">
      <c r="G52" s="53"/>
    </row>
    <row r="53" spans="7:7" x14ac:dyDescent="0.25">
      <c r="G53" s="53"/>
    </row>
    <row r="54" spans="7:7" x14ac:dyDescent="0.25">
      <c r="G54" s="53"/>
    </row>
    <row r="55" spans="7:7" x14ac:dyDescent="0.25">
      <c r="G55" s="53"/>
    </row>
    <row r="56" spans="7:7" x14ac:dyDescent="0.25">
      <c r="G56" s="53"/>
    </row>
    <row r="57" spans="7:7" x14ac:dyDescent="0.25">
      <c r="G57" s="53"/>
    </row>
    <row r="58" spans="7:7" x14ac:dyDescent="0.25">
      <c r="G58" s="53"/>
    </row>
    <row r="59" spans="7:7" x14ac:dyDescent="0.25">
      <c r="G59" s="53"/>
    </row>
    <row r="60" spans="7:7" x14ac:dyDescent="0.25">
      <c r="G60" s="53"/>
    </row>
    <row r="61" spans="7:7" x14ac:dyDescent="0.25">
      <c r="G61" s="53"/>
    </row>
    <row r="62" spans="7:7" x14ac:dyDescent="0.25">
      <c r="G62" s="53"/>
    </row>
    <row r="63" spans="7:7" x14ac:dyDescent="0.25">
      <c r="G63" s="53"/>
    </row>
    <row r="64" spans="7:7" x14ac:dyDescent="0.25">
      <c r="G64" s="53"/>
    </row>
    <row r="65" spans="7:7" x14ac:dyDescent="0.25">
      <c r="G65" s="53"/>
    </row>
    <row r="66" spans="7:7" x14ac:dyDescent="0.25">
      <c r="G66" s="53"/>
    </row>
    <row r="67" spans="7:7" x14ac:dyDescent="0.25">
      <c r="G67" s="53"/>
    </row>
    <row r="68" spans="7:7" x14ac:dyDescent="0.25">
      <c r="G68" s="53"/>
    </row>
  </sheetData>
  <mergeCells count="1">
    <mergeCell ref="A1:H1"/>
  </mergeCells>
  <pageMargins left="0.7" right="0.7" top="0.75" bottom="0.75" header="0.3" footer="0.3"/>
  <pageSetup scale="59" fitToHeight="0" orientation="landscape" horizontalDpi="4294967294" verticalDpi="4294967294" r:id="rId1"/>
  <headerFooter>
    <oddHeader xml:space="preserve">&amp;CAAASG Fines Imposed in FY 12 and FY 13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H1"/>
    </sheetView>
  </sheetViews>
  <sheetFormatPr defaultRowHeight="15" x14ac:dyDescent="0.25"/>
  <cols>
    <col min="1" max="1" width="9" style="4" bestFit="1" customWidth="1"/>
    <col min="2" max="2" width="46.85546875" bestFit="1" customWidth="1"/>
    <col min="3" max="3" width="12.7109375" bestFit="1" customWidth="1"/>
    <col min="4" max="4" width="5.7109375" bestFit="1" customWidth="1"/>
    <col min="5" max="5" width="12.42578125" bestFit="1" customWidth="1"/>
    <col min="6" max="6" width="31.140625" style="53" bestFit="1" customWidth="1"/>
    <col min="7" max="7" width="13.28515625" style="53" bestFit="1" customWidth="1"/>
    <col min="8" max="8" width="10.140625" bestFit="1" customWidth="1"/>
  </cols>
  <sheetData>
    <row r="1" spans="1:8" ht="16.5" thickBot="1" x14ac:dyDescent="0.3">
      <c r="A1" s="97" t="s">
        <v>472</v>
      </c>
      <c r="B1" s="98"/>
      <c r="C1" s="98"/>
      <c r="D1" s="98"/>
      <c r="E1" s="98"/>
      <c r="F1" s="98"/>
      <c r="G1" s="98"/>
      <c r="H1" s="99"/>
    </row>
    <row r="2" spans="1:8" ht="43.5" x14ac:dyDescent="0.25">
      <c r="A2" s="25" t="s">
        <v>0</v>
      </c>
      <c r="B2" s="26" t="s">
        <v>101</v>
      </c>
      <c r="C2" s="26" t="s">
        <v>102</v>
      </c>
      <c r="D2" s="26" t="s">
        <v>103</v>
      </c>
      <c r="E2" s="26" t="s">
        <v>104</v>
      </c>
      <c r="F2" s="54" t="s">
        <v>105</v>
      </c>
      <c r="G2" s="45" t="s">
        <v>470</v>
      </c>
      <c r="H2" s="28" t="s">
        <v>468</v>
      </c>
    </row>
    <row r="3" spans="1:8" x14ac:dyDescent="0.25">
      <c r="A3" s="30" t="s">
        <v>416</v>
      </c>
      <c r="B3" s="31" t="s">
        <v>258</v>
      </c>
      <c r="C3" s="31" t="s">
        <v>259</v>
      </c>
      <c r="D3" s="31" t="s">
        <v>133</v>
      </c>
      <c r="E3" s="31" t="s">
        <v>9</v>
      </c>
      <c r="F3" s="50" t="s">
        <v>44</v>
      </c>
      <c r="G3" s="46">
        <v>1750000</v>
      </c>
      <c r="H3" s="34">
        <v>41544</v>
      </c>
    </row>
    <row r="4" spans="1:8" x14ac:dyDescent="0.25">
      <c r="A4" s="30" t="s">
        <v>409</v>
      </c>
      <c r="B4" s="31" t="s">
        <v>246</v>
      </c>
      <c r="C4" s="31" t="s">
        <v>247</v>
      </c>
      <c r="D4" s="31" t="s">
        <v>248</v>
      </c>
      <c r="E4" s="31" t="s">
        <v>11</v>
      </c>
      <c r="F4" s="50" t="s">
        <v>57</v>
      </c>
      <c r="G4" s="46">
        <v>155000</v>
      </c>
      <c r="H4" s="34">
        <v>41464</v>
      </c>
    </row>
    <row r="5" spans="1:8" x14ac:dyDescent="0.25">
      <c r="A5" s="30" t="s">
        <v>404</v>
      </c>
      <c r="B5" s="31" t="s">
        <v>241</v>
      </c>
      <c r="C5" s="31" t="s">
        <v>60</v>
      </c>
      <c r="D5" s="31" t="s">
        <v>61</v>
      </c>
      <c r="E5" s="31" t="s">
        <v>11</v>
      </c>
      <c r="F5" s="50" t="s">
        <v>57</v>
      </c>
      <c r="G5" s="46">
        <v>45000</v>
      </c>
      <c r="H5" s="34">
        <v>41276</v>
      </c>
    </row>
    <row r="6" spans="1:8" x14ac:dyDescent="0.25">
      <c r="A6" s="30" t="s">
        <v>402</v>
      </c>
      <c r="B6" s="31" t="s">
        <v>301</v>
      </c>
      <c r="C6" s="31" t="s">
        <v>302</v>
      </c>
      <c r="D6" s="31" t="s">
        <v>21</v>
      </c>
      <c r="E6" s="31" t="s">
        <v>9</v>
      </c>
      <c r="F6" s="50" t="s">
        <v>25</v>
      </c>
      <c r="G6" s="46">
        <v>14000</v>
      </c>
      <c r="H6" s="34">
        <v>41199</v>
      </c>
    </row>
    <row r="7" spans="1:8" x14ac:dyDescent="0.25">
      <c r="A7" s="30" t="s">
        <v>408</v>
      </c>
      <c r="B7" s="31" t="s">
        <v>244</v>
      </c>
      <c r="C7" s="31" t="s">
        <v>245</v>
      </c>
      <c r="D7" s="31" t="s">
        <v>31</v>
      </c>
      <c r="E7" s="31" t="s">
        <v>14</v>
      </c>
      <c r="F7" s="50" t="s">
        <v>57</v>
      </c>
      <c r="G7" s="46">
        <v>110000</v>
      </c>
      <c r="H7" s="34">
        <v>41360</v>
      </c>
    </row>
    <row r="8" spans="1:8" x14ac:dyDescent="0.25">
      <c r="A8" s="30" t="s">
        <v>401</v>
      </c>
      <c r="B8" s="31" t="s">
        <v>298</v>
      </c>
      <c r="C8" s="31" t="s">
        <v>299</v>
      </c>
      <c r="D8" s="31" t="s">
        <v>300</v>
      </c>
      <c r="E8" s="31" t="s">
        <v>9</v>
      </c>
      <c r="F8" s="50" t="s">
        <v>25</v>
      </c>
      <c r="G8" s="46">
        <v>6000</v>
      </c>
      <c r="H8" s="34">
        <v>41198</v>
      </c>
    </row>
    <row r="9" spans="1:8" x14ac:dyDescent="0.25">
      <c r="A9" s="30" t="s">
        <v>411</v>
      </c>
      <c r="B9" s="31" t="s">
        <v>307</v>
      </c>
      <c r="C9" s="31" t="s">
        <v>308</v>
      </c>
      <c r="D9" s="31" t="s">
        <v>309</v>
      </c>
      <c r="E9" s="31" t="s">
        <v>9</v>
      </c>
      <c r="F9" s="50" t="s">
        <v>310</v>
      </c>
      <c r="G9" s="46">
        <v>134000</v>
      </c>
      <c r="H9" s="34">
        <v>41473</v>
      </c>
    </row>
    <row r="10" spans="1:8" x14ac:dyDescent="0.25">
      <c r="A10" s="30" t="s">
        <v>407</v>
      </c>
      <c r="B10" s="31" t="s">
        <v>305</v>
      </c>
      <c r="C10" s="31" t="s">
        <v>261</v>
      </c>
      <c r="D10" s="31" t="s">
        <v>130</v>
      </c>
      <c r="E10" s="31" t="s">
        <v>11</v>
      </c>
      <c r="F10" s="50" t="s">
        <v>306</v>
      </c>
      <c r="G10" s="46">
        <v>27500</v>
      </c>
      <c r="H10" s="34">
        <v>41340</v>
      </c>
    </row>
    <row r="11" spans="1:8" x14ac:dyDescent="0.25">
      <c r="A11" s="30" t="s">
        <v>413</v>
      </c>
      <c r="B11" s="31" t="s">
        <v>260</v>
      </c>
      <c r="C11" s="31" t="s">
        <v>261</v>
      </c>
      <c r="D11" s="31" t="s">
        <v>130</v>
      </c>
      <c r="E11" s="31" t="s">
        <v>14</v>
      </c>
      <c r="F11" s="50" t="s">
        <v>262</v>
      </c>
      <c r="G11" s="46">
        <v>82637</v>
      </c>
      <c r="H11" s="34">
        <v>41488</v>
      </c>
    </row>
    <row r="12" spans="1:8" x14ac:dyDescent="0.25">
      <c r="A12" s="30" t="s">
        <v>405</v>
      </c>
      <c r="B12" s="31" t="s">
        <v>303</v>
      </c>
      <c r="C12" s="31" t="s">
        <v>304</v>
      </c>
      <c r="D12" s="31" t="s">
        <v>251</v>
      </c>
      <c r="E12" s="31" t="s">
        <v>14</v>
      </c>
      <c r="F12" s="50" t="s">
        <v>25</v>
      </c>
      <c r="G12" s="46">
        <v>32500</v>
      </c>
      <c r="H12" s="34">
        <v>41292</v>
      </c>
    </row>
    <row r="13" spans="1:8" x14ac:dyDescent="0.25">
      <c r="A13" s="30" t="s">
        <v>410</v>
      </c>
      <c r="B13" s="31" t="s">
        <v>249</v>
      </c>
      <c r="C13" s="31" t="s">
        <v>250</v>
      </c>
      <c r="D13" s="31" t="s">
        <v>251</v>
      </c>
      <c r="E13" s="31" t="s">
        <v>14</v>
      </c>
      <c r="F13" s="50" t="s">
        <v>57</v>
      </c>
      <c r="G13" s="46">
        <v>115000</v>
      </c>
      <c r="H13" s="34">
        <v>41472</v>
      </c>
    </row>
    <row r="14" spans="1:8" x14ac:dyDescent="0.25">
      <c r="A14" s="30" t="s">
        <v>415</v>
      </c>
      <c r="B14" s="31" t="s">
        <v>254</v>
      </c>
      <c r="C14" s="31" t="s">
        <v>255</v>
      </c>
      <c r="D14" s="31" t="s">
        <v>18</v>
      </c>
      <c r="E14" s="31" t="s">
        <v>11</v>
      </c>
      <c r="F14" s="50" t="s">
        <v>57</v>
      </c>
      <c r="G14" s="46">
        <v>200000</v>
      </c>
      <c r="H14" s="34">
        <v>41534</v>
      </c>
    </row>
    <row r="15" spans="1:8" x14ac:dyDescent="0.25">
      <c r="A15" s="30" t="s">
        <v>403</v>
      </c>
      <c r="B15" s="31" t="s">
        <v>312</v>
      </c>
      <c r="C15" s="31" t="s">
        <v>313</v>
      </c>
      <c r="D15" s="31" t="s">
        <v>18</v>
      </c>
      <c r="E15" s="31" t="s">
        <v>11</v>
      </c>
      <c r="F15" s="50" t="s">
        <v>231</v>
      </c>
      <c r="G15" s="46">
        <v>3200000</v>
      </c>
      <c r="H15" s="34">
        <v>41263</v>
      </c>
    </row>
    <row r="16" spans="1:8" x14ac:dyDescent="0.25">
      <c r="A16" s="30" t="s">
        <v>414</v>
      </c>
      <c r="B16" s="31" t="s">
        <v>185</v>
      </c>
      <c r="C16" s="31" t="s">
        <v>186</v>
      </c>
      <c r="D16" s="31" t="s">
        <v>165</v>
      </c>
      <c r="E16" s="31" t="s">
        <v>14</v>
      </c>
      <c r="F16" s="50" t="s">
        <v>25</v>
      </c>
      <c r="G16" s="46">
        <v>3500</v>
      </c>
      <c r="H16" s="34">
        <v>41527</v>
      </c>
    </row>
    <row r="17" spans="1:8" x14ac:dyDescent="0.25">
      <c r="A17" s="30" t="s">
        <v>357</v>
      </c>
      <c r="B17" s="31" t="s">
        <v>174</v>
      </c>
      <c r="C17" s="31" t="s">
        <v>175</v>
      </c>
      <c r="D17" s="31" t="s">
        <v>20</v>
      </c>
      <c r="E17" s="31" t="s">
        <v>9</v>
      </c>
      <c r="F17" s="50" t="s">
        <v>113</v>
      </c>
      <c r="G17" s="46">
        <v>10000</v>
      </c>
      <c r="H17" s="34">
        <v>41537</v>
      </c>
    </row>
    <row r="18" spans="1:8" x14ac:dyDescent="0.25">
      <c r="A18" s="30" t="s">
        <v>412</v>
      </c>
      <c r="B18" s="31" t="s">
        <v>252</v>
      </c>
      <c r="C18" s="31" t="s">
        <v>253</v>
      </c>
      <c r="D18" s="31" t="s">
        <v>12</v>
      </c>
      <c r="E18" s="31" t="s">
        <v>14</v>
      </c>
      <c r="F18" s="50" t="s">
        <v>57</v>
      </c>
      <c r="G18" s="46">
        <v>49500</v>
      </c>
      <c r="H18" s="34">
        <v>41486</v>
      </c>
    </row>
    <row r="19" spans="1:8" x14ac:dyDescent="0.25">
      <c r="A19" s="30" t="s">
        <v>400</v>
      </c>
      <c r="B19" s="31" t="s">
        <v>238</v>
      </c>
      <c r="C19" s="31" t="s">
        <v>239</v>
      </c>
      <c r="D19" s="31" t="s">
        <v>240</v>
      </c>
      <c r="E19" s="31" t="s">
        <v>14</v>
      </c>
      <c r="F19" s="50" t="s">
        <v>57</v>
      </c>
      <c r="G19" s="46">
        <v>55000</v>
      </c>
      <c r="H19" s="34">
        <v>41193</v>
      </c>
    </row>
    <row r="20" spans="1:8" x14ac:dyDescent="0.25">
      <c r="A20" s="30" t="s">
        <v>406</v>
      </c>
      <c r="B20" s="31" t="s">
        <v>242</v>
      </c>
      <c r="C20" s="31" t="s">
        <v>243</v>
      </c>
      <c r="D20" s="31" t="s">
        <v>158</v>
      </c>
      <c r="E20" s="31" t="s">
        <v>14</v>
      </c>
      <c r="F20" s="50" t="s">
        <v>57</v>
      </c>
      <c r="G20" s="46">
        <v>82500</v>
      </c>
      <c r="H20" s="34">
        <v>41319</v>
      </c>
    </row>
    <row r="21" spans="1:8" x14ac:dyDescent="0.25">
      <c r="G21" s="47"/>
    </row>
  </sheetData>
  <mergeCells count="1">
    <mergeCell ref="A1:H1"/>
  </mergeCells>
  <pageMargins left="0.7" right="0.7" top="0.75" bottom="0.75" header="0.3" footer="0.3"/>
  <pageSetup orientation="portrait" horizontalDpi="4294967294" vertic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topLeftCell="A2" workbookViewId="0">
      <selection activeCell="A2" sqref="A2:H2"/>
    </sheetView>
  </sheetViews>
  <sheetFormatPr defaultRowHeight="15" x14ac:dyDescent="0.25"/>
  <cols>
    <col min="1" max="1" width="9" style="4" bestFit="1" customWidth="1"/>
    <col min="2" max="2" width="50" bestFit="1" customWidth="1"/>
    <col min="3" max="3" width="12.42578125" bestFit="1" customWidth="1"/>
    <col min="4" max="4" width="6.42578125" bestFit="1" customWidth="1"/>
    <col min="5" max="5" width="12.42578125" bestFit="1" customWidth="1"/>
    <col min="6" max="6" width="21.5703125" style="53" bestFit="1" customWidth="1"/>
    <col min="7" max="7" width="19.42578125" style="59" bestFit="1" customWidth="1"/>
    <col min="8" max="8" width="13.42578125" bestFit="1" customWidth="1"/>
  </cols>
  <sheetData>
    <row r="1" spans="1:8" hidden="1" x14ac:dyDescent="0.25">
      <c r="A1" s="41" t="s">
        <v>0</v>
      </c>
      <c r="B1" s="42" t="s">
        <v>1</v>
      </c>
      <c r="C1" s="42" t="s">
        <v>2</v>
      </c>
      <c r="D1" s="42" t="s">
        <v>3</v>
      </c>
      <c r="E1" s="42" t="s">
        <v>4</v>
      </c>
      <c r="F1" s="55" t="s">
        <v>5</v>
      </c>
      <c r="G1" s="56" t="s">
        <v>6</v>
      </c>
      <c r="H1" s="42" t="s">
        <v>7</v>
      </c>
    </row>
    <row r="2" spans="1:8" ht="15.75" thickBot="1" x14ac:dyDescent="0.3">
      <c r="A2" s="100" t="s">
        <v>474</v>
      </c>
      <c r="B2" s="101"/>
      <c r="C2" s="101"/>
      <c r="D2" s="101"/>
      <c r="E2" s="101"/>
      <c r="F2" s="101"/>
      <c r="G2" s="101"/>
      <c r="H2" s="102"/>
    </row>
    <row r="3" spans="1:8" s="38" customFormat="1" ht="43.5" x14ac:dyDescent="0.25">
      <c r="A3" s="25" t="s">
        <v>0</v>
      </c>
      <c r="B3" s="26" t="s">
        <v>101</v>
      </c>
      <c r="C3" s="26" t="s">
        <v>102</v>
      </c>
      <c r="D3" s="26" t="s">
        <v>103</v>
      </c>
      <c r="E3" s="26" t="s">
        <v>104</v>
      </c>
      <c r="F3" s="54" t="s">
        <v>105</v>
      </c>
      <c r="G3" s="57" t="s">
        <v>473</v>
      </c>
      <c r="H3" s="28" t="s">
        <v>468</v>
      </c>
    </row>
    <row r="4" spans="1:8" x14ac:dyDescent="0.25">
      <c r="A4" s="30" t="s">
        <v>382</v>
      </c>
      <c r="B4" s="31" t="s">
        <v>62</v>
      </c>
      <c r="C4" s="31" t="s">
        <v>37</v>
      </c>
      <c r="D4" s="31" t="s">
        <v>19</v>
      </c>
      <c r="E4" s="31" t="s">
        <v>11</v>
      </c>
      <c r="F4" s="50" t="s">
        <v>25</v>
      </c>
      <c r="G4" s="58">
        <v>1750</v>
      </c>
      <c r="H4" s="34">
        <v>41891</v>
      </c>
    </row>
    <row r="5" spans="1:8" x14ac:dyDescent="0.25">
      <c r="A5" s="30" t="s">
        <v>383</v>
      </c>
      <c r="B5" s="31" t="s">
        <v>83</v>
      </c>
      <c r="C5" s="31" t="s">
        <v>84</v>
      </c>
      <c r="D5" s="31" t="s">
        <v>19</v>
      </c>
      <c r="E5" s="31" t="s">
        <v>9</v>
      </c>
      <c r="F5" s="50" t="s">
        <v>25</v>
      </c>
      <c r="G5" s="58">
        <v>12250</v>
      </c>
      <c r="H5" s="34">
        <v>41878</v>
      </c>
    </row>
    <row r="6" spans="1:8" x14ac:dyDescent="0.25">
      <c r="A6" s="30" t="s">
        <v>384</v>
      </c>
      <c r="B6" s="31" t="s">
        <v>90</v>
      </c>
      <c r="C6" s="31" t="s">
        <v>38</v>
      </c>
      <c r="D6" s="31" t="s">
        <v>19</v>
      </c>
      <c r="E6" s="31" t="s">
        <v>9</v>
      </c>
      <c r="F6" s="50" t="s">
        <v>25</v>
      </c>
      <c r="G6" s="58">
        <v>25000</v>
      </c>
      <c r="H6" s="34">
        <v>41621</v>
      </c>
    </row>
    <row r="7" spans="1:8" x14ac:dyDescent="0.25">
      <c r="A7" s="30" t="s">
        <v>385</v>
      </c>
      <c r="B7" s="31" t="s">
        <v>41</v>
      </c>
      <c r="C7" s="31" t="s">
        <v>42</v>
      </c>
      <c r="D7" s="31" t="s">
        <v>43</v>
      </c>
      <c r="E7" s="31" t="s">
        <v>9</v>
      </c>
      <c r="F7" s="50" t="s">
        <v>44</v>
      </c>
      <c r="G7" s="58">
        <v>6750</v>
      </c>
      <c r="H7" s="34">
        <v>41787</v>
      </c>
    </row>
    <row r="8" spans="1:8" x14ac:dyDescent="0.25">
      <c r="A8" s="30" t="s">
        <v>386</v>
      </c>
      <c r="B8" s="31" t="s">
        <v>29</v>
      </c>
      <c r="C8" s="31" t="s">
        <v>30</v>
      </c>
      <c r="D8" s="31" t="s">
        <v>31</v>
      </c>
      <c r="E8" s="31" t="s">
        <v>9</v>
      </c>
      <c r="F8" s="50" t="s">
        <v>25</v>
      </c>
      <c r="G8" s="58">
        <v>1000</v>
      </c>
      <c r="H8" s="34">
        <v>41577</v>
      </c>
    </row>
    <row r="9" spans="1:8" x14ac:dyDescent="0.25">
      <c r="A9" s="30" t="s">
        <v>387</v>
      </c>
      <c r="B9" s="31" t="s">
        <v>67</v>
      </c>
      <c r="C9" s="31" t="s">
        <v>49</v>
      </c>
      <c r="D9" s="31" t="s">
        <v>26</v>
      </c>
      <c r="E9" s="31" t="s">
        <v>9</v>
      </c>
      <c r="F9" s="50" t="s">
        <v>25</v>
      </c>
      <c r="G9" s="58">
        <v>3500</v>
      </c>
      <c r="H9" s="34">
        <v>41613</v>
      </c>
    </row>
    <row r="10" spans="1:8" x14ac:dyDescent="0.25">
      <c r="A10" s="30" t="s">
        <v>388</v>
      </c>
      <c r="B10" s="31" t="s">
        <v>79</v>
      </c>
      <c r="C10" s="31" t="s">
        <v>80</v>
      </c>
      <c r="D10" s="31" t="s">
        <v>52</v>
      </c>
      <c r="E10" s="31" t="s">
        <v>9</v>
      </c>
      <c r="F10" s="50" t="s">
        <v>25</v>
      </c>
      <c r="G10" s="58">
        <v>19250</v>
      </c>
      <c r="H10" s="34">
        <v>41591</v>
      </c>
    </row>
    <row r="11" spans="1:8" x14ac:dyDescent="0.25">
      <c r="A11" s="30" t="s">
        <v>389</v>
      </c>
      <c r="B11" s="31" t="s">
        <v>85</v>
      </c>
      <c r="C11" s="31" t="s">
        <v>86</v>
      </c>
      <c r="D11" s="31" t="s">
        <v>40</v>
      </c>
      <c r="E11" s="31" t="s">
        <v>9</v>
      </c>
      <c r="F11" s="50" t="s">
        <v>25</v>
      </c>
      <c r="G11" s="58">
        <v>6000</v>
      </c>
      <c r="H11" s="34">
        <v>41887</v>
      </c>
    </row>
    <row r="12" spans="1:8" x14ac:dyDescent="0.25">
      <c r="A12" s="30" t="s">
        <v>390</v>
      </c>
      <c r="B12" s="31" t="s">
        <v>22</v>
      </c>
      <c r="C12" s="31" t="s">
        <v>23</v>
      </c>
      <c r="D12" s="31" t="s">
        <v>24</v>
      </c>
      <c r="E12" s="31" t="s">
        <v>9</v>
      </c>
      <c r="F12" s="50" t="s">
        <v>25</v>
      </c>
      <c r="G12" s="58">
        <v>7000</v>
      </c>
      <c r="H12" s="34">
        <v>41872</v>
      </c>
    </row>
    <row r="13" spans="1:8" x14ac:dyDescent="0.25">
      <c r="A13" s="30" t="s">
        <v>391</v>
      </c>
      <c r="B13" s="31" t="s">
        <v>27</v>
      </c>
      <c r="C13" s="31" t="s">
        <v>28</v>
      </c>
      <c r="D13" s="31" t="s">
        <v>10</v>
      </c>
      <c r="E13" s="31" t="s">
        <v>9</v>
      </c>
      <c r="F13" s="50" t="s">
        <v>25</v>
      </c>
      <c r="G13" s="58">
        <v>3500</v>
      </c>
      <c r="H13" s="34">
        <v>41586</v>
      </c>
    </row>
    <row r="14" spans="1:8" x14ac:dyDescent="0.25">
      <c r="A14" s="30" t="s">
        <v>393</v>
      </c>
      <c r="B14" s="31" t="s">
        <v>95</v>
      </c>
      <c r="C14" s="31" t="s">
        <v>96</v>
      </c>
      <c r="D14" s="31" t="s">
        <v>78</v>
      </c>
      <c r="E14" s="31" t="s">
        <v>14</v>
      </c>
      <c r="F14" s="50" t="s">
        <v>57</v>
      </c>
      <c r="G14" s="58">
        <v>65000</v>
      </c>
      <c r="H14" s="34">
        <v>41872</v>
      </c>
    </row>
    <row r="15" spans="1:8" x14ac:dyDescent="0.25">
      <c r="A15" s="30" t="s">
        <v>392</v>
      </c>
      <c r="B15" s="31" t="s">
        <v>34</v>
      </c>
      <c r="C15" s="31" t="s">
        <v>15</v>
      </c>
      <c r="D15" s="31" t="s">
        <v>16</v>
      </c>
      <c r="E15" s="31" t="s">
        <v>9</v>
      </c>
      <c r="F15" s="50" t="s">
        <v>25</v>
      </c>
      <c r="G15" s="58">
        <v>8000</v>
      </c>
      <c r="H15" s="34">
        <v>41872</v>
      </c>
    </row>
    <row r="16" spans="1:8" x14ac:dyDescent="0.25">
      <c r="A16" s="30" t="s">
        <v>394</v>
      </c>
      <c r="B16" s="31" t="s">
        <v>91</v>
      </c>
      <c r="C16" s="31" t="s">
        <v>92</v>
      </c>
      <c r="D16" s="31" t="s">
        <v>18</v>
      </c>
      <c r="E16" s="31" t="s">
        <v>9</v>
      </c>
      <c r="F16" s="50" t="s">
        <v>25</v>
      </c>
      <c r="G16" s="58">
        <v>3500</v>
      </c>
      <c r="H16" s="34">
        <v>41887</v>
      </c>
    </row>
    <row r="17" spans="1:8" x14ac:dyDescent="0.25">
      <c r="A17" s="30" t="s">
        <v>395</v>
      </c>
      <c r="B17" s="31" t="s">
        <v>81</v>
      </c>
      <c r="C17" s="31" t="s">
        <v>82</v>
      </c>
      <c r="D17" s="31" t="s">
        <v>66</v>
      </c>
      <c r="E17" s="31" t="s">
        <v>14</v>
      </c>
      <c r="F17" s="50" t="s">
        <v>57</v>
      </c>
      <c r="G17" s="58">
        <v>220500</v>
      </c>
      <c r="H17" s="34">
        <v>41689</v>
      </c>
    </row>
    <row r="18" spans="1:8" x14ac:dyDescent="0.25">
      <c r="A18" s="30" t="s">
        <v>396</v>
      </c>
      <c r="B18" s="31" t="s">
        <v>53</v>
      </c>
      <c r="C18" s="31" t="s">
        <v>54</v>
      </c>
      <c r="D18" s="31" t="s">
        <v>20</v>
      </c>
      <c r="E18" s="31" t="s">
        <v>14</v>
      </c>
      <c r="F18" s="50" t="s">
        <v>25</v>
      </c>
      <c r="G18" s="58">
        <v>10000</v>
      </c>
      <c r="H18" s="34">
        <v>41723</v>
      </c>
    </row>
    <row r="19" spans="1:8" x14ac:dyDescent="0.25">
      <c r="A19" s="30" t="s">
        <v>397</v>
      </c>
      <c r="B19" s="31" t="s">
        <v>64</v>
      </c>
      <c r="C19" s="31" t="s">
        <v>65</v>
      </c>
      <c r="D19" s="31" t="s">
        <v>12</v>
      </c>
      <c r="E19" s="31" t="s">
        <v>9</v>
      </c>
      <c r="F19" s="50" t="s">
        <v>25</v>
      </c>
      <c r="G19" s="58">
        <v>10500</v>
      </c>
      <c r="H19" s="34">
        <v>41577</v>
      </c>
    </row>
    <row r="20" spans="1:8" x14ac:dyDescent="0.25">
      <c r="A20" s="30" t="s">
        <v>398</v>
      </c>
      <c r="B20" s="31" t="s">
        <v>68</v>
      </c>
      <c r="C20" s="31" t="s">
        <v>69</v>
      </c>
      <c r="D20" s="31" t="s">
        <v>39</v>
      </c>
      <c r="E20" s="31" t="s">
        <v>11</v>
      </c>
      <c r="F20" s="50" t="s">
        <v>57</v>
      </c>
      <c r="G20" s="58">
        <v>120000</v>
      </c>
      <c r="H20" s="34">
        <v>41626</v>
      </c>
    </row>
    <row r="21" spans="1:8" x14ac:dyDescent="0.25">
      <c r="A21" s="30" t="s">
        <v>399</v>
      </c>
      <c r="B21" s="31" t="s">
        <v>97</v>
      </c>
      <c r="C21" s="31" t="s">
        <v>98</v>
      </c>
      <c r="D21" s="31" t="s">
        <v>39</v>
      </c>
      <c r="E21" s="31" t="s">
        <v>14</v>
      </c>
      <c r="F21" s="50" t="s">
        <v>57</v>
      </c>
      <c r="G21" s="58">
        <v>32500</v>
      </c>
      <c r="H21" s="34">
        <v>41642</v>
      </c>
    </row>
  </sheetData>
  <mergeCells count="1">
    <mergeCell ref="A2:H2"/>
  </mergeCells>
  <pageMargins left="0.7" right="0.7" top="0.75" bottom="0.75" header="0.3" footer="0.3"/>
  <pageSetup scale="55" fitToHeight="0" orientation="landscape" horizontalDpi="4294967294" verticalDpi="4294967294" r:id="rId1"/>
  <headerFooter>
    <oddHeader xml:space="preserve">&amp;CAAASG Fines Imposed in FY 14 and FY 15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sqref="A1:H1"/>
    </sheetView>
  </sheetViews>
  <sheetFormatPr defaultRowHeight="15" x14ac:dyDescent="0.25"/>
  <cols>
    <col min="1" max="1" width="9" style="4" bestFit="1" customWidth="1"/>
    <col min="2" max="2" width="64.140625" bestFit="1" customWidth="1"/>
    <col min="3" max="3" width="16.42578125" bestFit="1" customWidth="1"/>
    <col min="4" max="4" width="5.7109375" bestFit="1" customWidth="1"/>
    <col min="5" max="5" width="12.42578125" bestFit="1" customWidth="1"/>
    <col min="6" max="6" width="20.42578125" bestFit="1" customWidth="1"/>
    <col min="7" max="7" width="11.7109375" customWidth="1"/>
    <col min="8" max="8" width="10.140625" bestFit="1" customWidth="1"/>
  </cols>
  <sheetData>
    <row r="1" spans="1:8" ht="16.5" thickBot="1" x14ac:dyDescent="0.3">
      <c r="A1" s="97" t="s">
        <v>475</v>
      </c>
      <c r="B1" s="98"/>
      <c r="C1" s="98"/>
      <c r="D1" s="98"/>
      <c r="E1" s="98"/>
      <c r="F1" s="98"/>
      <c r="G1" s="98"/>
      <c r="H1" s="99"/>
    </row>
    <row r="2" spans="1:8" s="23" customFormat="1" ht="43.5" x14ac:dyDescent="0.25">
      <c r="A2" s="25" t="s">
        <v>0</v>
      </c>
      <c r="B2" s="26" t="s">
        <v>101</v>
      </c>
      <c r="C2" s="26" t="s">
        <v>102</v>
      </c>
      <c r="D2" s="26" t="s">
        <v>103</v>
      </c>
      <c r="E2" s="26" t="s">
        <v>104</v>
      </c>
      <c r="F2" s="26" t="s">
        <v>105</v>
      </c>
      <c r="G2" s="27" t="s">
        <v>470</v>
      </c>
      <c r="H2" s="28" t="s">
        <v>468</v>
      </c>
    </row>
    <row r="3" spans="1:8" x14ac:dyDescent="0.25">
      <c r="A3" s="30" t="s">
        <v>366</v>
      </c>
      <c r="B3" s="31" t="s">
        <v>46</v>
      </c>
      <c r="C3" s="31" t="s">
        <v>47</v>
      </c>
      <c r="D3" s="31" t="s">
        <v>17</v>
      </c>
      <c r="E3" s="31" t="s">
        <v>11</v>
      </c>
      <c r="F3" s="31" t="s">
        <v>48</v>
      </c>
      <c r="G3" s="40">
        <v>25000</v>
      </c>
      <c r="H3" s="34">
        <v>42121</v>
      </c>
    </row>
    <row r="4" spans="1:8" x14ac:dyDescent="0.25">
      <c r="A4" s="30" t="s">
        <v>367</v>
      </c>
      <c r="B4" s="31" t="s">
        <v>59</v>
      </c>
      <c r="C4" s="31" t="s">
        <v>60</v>
      </c>
      <c r="D4" s="31" t="s">
        <v>61</v>
      </c>
      <c r="E4" s="31" t="s">
        <v>14</v>
      </c>
      <c r="F4" s="31" t="s">
        <v>57</v>
      </c>
      <c r="G4" s="40">
        <v>55000</v>
      </c>
      <c r="H4" s="34">
        <v>41957</v>
      </c>
    </row>
    <row r="5" spans="1:8" x14ac:dyDescent="0.25">
      <c r="A5" s="30" t="s">
        <v>368</v>
      </c>
      <c r="B5" s="31" t="s">
        <v>32</v>
      </c>
      <c r="C5" s="31" t="s">
        <v>33</v>
      </c>
      <c r="D5" s="31" t="s">
        <v>21</v>
      </c>
      <c r="E5" s="31" t="s">
        <v>9</v>
      </c>
      <c r="F5" s="31" t="s">
        <v>25</v>
      </c>
      <c r="G5" s="40">
        <v>1750</v>
      </c>
      <c r="H5" s="34">
        <v>42257</v>
      </c>
    </row>
    <row r="6" spans="1:8" s="53" customFormat="1" x14ac:dyDescent="0.25">
      <c r="A6" s="51" t="s">
        <v>485</v>
      </c>
      <c r="B6" s="50" t="s">
        <v>481</v>
      </c>
      <c r="C6" s="50" t="s">
        <v>482</v>
      </c>
      <c r="D6" s="50" t="s">
        <v>21</v>
      </c>
      <c r="E6" s="50" t="s">
        <v>11</v>
      </c>
      <c r="F6" s="50" t="s">
        <v>231</v>
      </c>
      <c r="G6" s="58">
        <v>355000</v>
      </c>
      <c r="H6" s="52">
        <v>42065</v>
      </c>
    </row>
    <row r="7" spans="1:8" x14ac:dyDescent="0.25">
      <c r="A7" s="30" t="s">
        <v>369</v>
      </c>
      <c r="B7" s="31" t="s">
        <v>72</v>
      </c>
      <c r="C7" s="31" t="s">
        <v>35</v>
      </c>
      <c r="D7" s="31" t="s">
        <v>21</v>
      </c>
      <c r="E7" s="31" t="s">
        <v>9</v>
      </c>
      <c r="F7" s="31" t="s">
        <v>25</v>
      </c>
      <c r="G7" s="40">
        <v>5000</v>
      </c>
      <c r="H7" s="34">
        <v>42269</v>
      </c>
    </row>
    <row r="8" spans="1:8" x14ac:dyDescent="0.25">
      <c r="A8" s="30" t="s">
        <v>370</v>
      </c>
      <c r="B8" s="31" t="s">
        <v>51</v>
      </c>
      <c r="C8" s="31" t="s">
        <v>45</v>
      </c>
      <c r="D8" s="31" t="s">
        <v>8</v>
      </c>
      <c r="E8" s="31" t="s">
        <v>11</v>
      </c>
      <c r="F8" s="31" t="s">
        <v>25</v>
      </c>
      <c r="G8" s="40">
        <v>3500</v>
      </c>
      <c r="H8" s="34">
        <v>42257</v>
      </c>
    </row>
    <row r="9" spans="1:8" x14ac:dyDescent="0.25">
      <c r="A9" s="30" t="s">
        <v>371</v>
      </c>
      <c r="B9" s="31" t="s">
        <v>55</v>
      </c>
      <c r="C9" s="31" t="s">
        <v>56</v>
      </c>
      <c r="D9" s="31" t="s">
        <v>31</v>
      </c>
      <c r="E9" s="31" t="s">
        <v>11</v>
      </c>
      <c r="F9" s="31" t="s">
        <v>57</v>
      </c>
      <c r="G9" s="40">
        <v>55000</v>
      </c>
      <c r="H9" s="34">
        <v>42179</v>
      </c>
    </row>
    <row r="10" spans="1:8" x14ac:dyDescent="0.25">
      <c r="A10" s="30" t="s">
        <v>372</v>
      </c>
      <c r="B10" s="31" t="s">
        <v>77</v>
      </c>
      <c r="C10" s="31" t="s">
        <v>30</v>
      </c>
      <c r="D10" s="31" t="s">
        <v>31</v>
      </c>
      <c r="E10" s="31" t="s">
        <v>11</v>
      </c>
      <c r="F10" s="31" t="s">
        <v>57</v>
      </c>
      <c r="G10" s="40">
        <v>27500</v>
      </c>
      <c r="H10" s="34">
        <v>42158</v>
      </c>
    </row>
    <row r="11" spans="1:8" x14ac:dyDescent="0.25">
      <c r="A11" s="30" t="s">
        <v>373</v>
      </c>
      <c r="B11" s="31" t="s">
        <v>63</v>
      </c>
      <c r="C11" s="31" t="s">
        <v>58</v>
      </c>
      <c r="D11" s="31" t="s">
        <v>26</v>
      </c>
      <c r="E11" s="31" t="s">
        <v>9</v>
      </c>
      <c r="F11" s="31" t="s">
        <v>57</v>
      </c>
      <c r="G11" s="40">
        <v>42500</v>
      </c>
      <c r="H11" s="34">
        <v>42158</v>
      </c>
    </row>
    <row r="12" spans="1:8" x14ac:dyDescent="0.25">
      <c r="A12" s="30" t="s">
        <v>374</v>
      </c>
      <c r="B12" s="31" t="s">
        <v>88</v>
      </c>
      <c r="C12" s="31" t="s">
        <v>89</v>
      </c>
      <c r="D12" s="31" t="s">
        <v>52</v>
      </c>
      <c r="E12" s="31" t="s">
        <v>14</v>
      </c>
      <c r="F12" s="31" t="s">
        <v>57</v>
      </c>
      <c r="G12" s="40">
        <v>72500</v>
      </c>
      <c r="H12" s="34">
        <v>42159</v>
      </c>
    </row>
    <row r="13" spans="1:8" x14ac:dyDescent="0.25">
      <c r="A13" s="30" t="s">
        <v>375</v>
      </c>
      <c r="B13" s="31" t="s">
        <v>93</v>
      </c>
      <c r="C13" s="31" t="s">
        <v>94</v>
      </c>
      <c r="D13" s="31" t="s">
        <v>52</v>
      </c>
      <c r="E13" s="31" t="s">
        <v>11</v>
      </c>
      <c r="F13" s="31" t="s">
        <v>57</v>
      </c>
      <c r="G13" s="40">
        <v>165000</v>
      </c>
      <c r="H13" s="34">
        <v>42074</v>
      </c>
    </row>
    <row r="14" spans="1:8" x14ac:dyDescent="0.25">
      <c r="A14" s="30" t="s">
        <v>376</v>
      </c>
      <c r="B14" s="31" t="s">
        <v>316</v>
      </c>
      <c r="C14" s="31" t="s">
        <v>167</v>
      </c>
      <c r="D14" s="31" t="s">
        <v>168</v>
      </c>
      <c r="E14" s="31" t="s">
        <v>14</v>
      </c>
      <c r="F14" s="31" t="s">
        <v>25</v>
      </c>
      <c r="G14" s="40">
        <v>15000</v>
      </c>
      <c r="H14" s="34">
        <v>42269</v>
      </c>
    </row>
    <row r="15" spans="1:8" x14ac:dyDescent="0.25">
      <c r="A15" s="30" t="s">
        <v>377</v>
      </c>
      <c r="B15" s="31" t="s">
        <v>70</v>
      </c>
      <c r="C15" s="31" t="s">
        <v>71</v>
      </c>
      <c r="D15" s="31" t="s">
        <v>24</v>
      </c>
      <c r="E15" s="31" t="s">
        <v>9</v>
      </c>
      <c r="F15" s="31" t="s">
        <v>25</v>
      </c>
      <c r="G15" s="40">
        <v>7000</v>
      </c>
      <c r="H15" s="34">
        <v>42256</v>
      </c>
    </row>
    <row r="16" spans="1:8" x14ac:dyDescent="0.25">
      <c r="A16" s="30" t="s">
        <v>378</v>
      </c>
      <c r="B16" s="31" t="s">
        <v>73</v>
      </c>
      <c r="C16" s="31" t="s">
        <v>74</v>
      </c>
      <c r="D16" s="31" t="s">
        <v>36</v>
      </c>
      <c r="E16" s="31" t="s">
        <v>11</v>
      </c>
      <c r="F16" s="31" t="s">
        <v>57</v>
      </c>
      <c r="G16" s="40">
        <v>30000</v>
      </c>
      <c r="H16" s="34">
        <v>42082</v>
      </c>
    </row>
    <row r="17" spans="1:8" x14ac:dyDescent="0.25">
      <c r="A17" s="30" t="s">
        <v>379</v>
      </c>
      <c r="B17" s="31" t="s">
        <v>87</v>
      </c>
      <c r="C17" s="31" t="s">
        <v>50</v>
      </c>
      <c r="D17" s="31" t="s">
        <v>18</v>
      </c>
      <c r="E17" s="31" t="s">
        <v>11</v>
      </c>
      <c r="F17" s="31" t="s">
        <v>25</v>
      </c>
      <c r="G17" s="40">
        <v>7000</v>
      </c>
      <c r="H17" s="34">
        <v>42269</v>
      </c>
    </row>
    <row r="18" spans="1:8" s="53" customFormat="1" x14ac:dyDescent="0.25">
      <c r="A18" s="51" t="s">
        <v>484</v>
      </c>
      <c r="B18" s="50" t="s">
        <v>479</v>
      </c>
      <c r="C18" s="50" t="s">
        <v>480</v>
      </c>
      <c r="D18" s="50" t="s">
        <v>66</v>
      </c>
      <c r="E18" s="50" t="s">
        <v>11</v>
      </c>
      <c r="F18" s="50" t="s">
        <v>231</v>
      </c>
      <c r="G18" s="58">
        <v>750000</v>
      </c>
      <c r="H18" s="52">
        <v>42236</v>
      </c>
    </row>
    <row r="19" spans="1:8" s="53" customFormat="1" x14ac:dyDescent="0.25">
      <c r="A19" s="51" t="s">
        <v>483</v>
      </c>
      <c r="B19" s="50" t="s">
        <v>477</v>
      </c>
      <c r="C19" s="50" t="s">
        <v>478</v>
      </c>
      <c r="D19" s="50" t="s">
        <v>180</v>
      </c>
      <c r="E19" s="50" t="s">
        <v>9</v>
      </c>
      <c r="F19" s="50" t="s">
        <v>231</v>
      </c>
      <c r="G19" s="58">
        <v>13000000</v>
      </c>
      <c r="H19" s="52">
        <v>42170</v>
      </c>
    </row>
    <row r="20" spans="1:8" x14ac:dyDescent="0.25">
      <c r="A20" s="30" t="s">
        <v>380</v>
      </c>
      <c r="B20" s="31" t="s">
        <v>75</v>
      </c>
      <c r="C20" s="31" t="s">
        <v>76</v>
      </c>
      <c r="D20" s="31" t="s">
        <v>13</v>
      </c>
      <c r="E20" s="31" t="s">
        <v>14</v>
      </c>
      <c r="F20" s="31" t="s">
        <v>57</v>
      </c>
      <c r="G20" s="40">
        <v>37500</v>
      </c>
      <c r="H20" s="34">
        <v>41982</v>
      </c>
    </row>
    <row r="21" spans="1:8" x14ac:dyDescent="0.25">
      <c r="A21" s="30" t="s">
        <v>381</v>
      </c>
      <c r="B21" s="31" t="s">
        <v>99</v>
      </c>
      <c r="C21" s="31" t="s">
        <v>100</v>
      </c>
      <c r="D21" s="31" t="s">
        <v>39</v>
      </c>
      <c r="E21" s="31" t="s">
        <v>9</v>
      </c>
      <c r="F21" s="31" t="s">
        <v>57</v>
      </c>
      <c r="G21" s="40">
        <v>15000</v>
      </c>
      <c r="H21" s="34">
        <v>42082</v>
      </c>
    </row>
    <row r="22" spans="1:8" x14ac:dyDescent="0.25">
      <c r="G22" s="1"/>
    </row>
    <row r="23" spans="1:8" x14ac:dyDescent="0.25">
      <c r="G23" s="1" t="s">
        <v>476</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election sqref="A1:H1"/>
    </sheetView>
  </sheetViews>
  <sheetFormatPr defaultRowHeight="15" x14ac:dyDescent="0.25"/>
  <cols>
    <col min="1" max="1" width="9" style="4" bestFit="1" customWidth="1"/>
    <col min="2" max="2" width="64.140625" bestFit="1" customWidth="1"/>
    <col min="3" max="3" width="16.42578125" bestFit="1" customWidth="1"/>
    <col min="4" max="4" width="5.7109375" bestFit="1" customWidth="1"/>
    <col min="5" max="5" width="12.42578125" bestFit="1" customWidth="1"/>
    <col min="6" max="6" width="25.7109375" style="53" customWidth="1"/>
    <col min="7" max="7" width="12.7109375" style="62" customWidth="1"/>
    <col min="8" max="8" width="11.7109375" customWidth="1"/>
  </cols>
  <sheetData>
    <row r="1" spans="1:8" ht="15.75" x14ac:dyDescent="0.25">
      <c r="A1" s="92" t="s">
        <v>528</v>
      </c>
      <c r="B1" s="95"/>
      <c r="C1" s="95"/>
      <c r="D1" s="95"/>
      <c r="E1" s="95"/>
      <c r="F1" s="95"/>
      <c r="G1" s="95"/>
      <c r="H1" s="96"/>
    </row>
    <row r="2" spans="1:8" s="23" customFormat="1" ht="43.5" x14ac:dyDescent="0.25">
      <c r="A2" s="36" t="s">
        <v>0</v>
      </c>
      <c r="B2" s="37" t="s">
        <v>101</v>
      </c>
      <c r="C2" s="37" t="s">
        <v>102</v>
      </c>
      <c r="D2" s="37" t="s">
        <v>103</v>
      </c>
      <c r="E2" s="37" t="s">
        <v>104</v>
      </c>
      <c r="F2" s="48" t="s">
        <v>105</v>
      </c>
      <c r="G2" s="60" t="s">
        <v>470</v>
      </c>
      <c r="H2" s="39" t="s">
        <v>468</v>
      </c>
    </row>
    <row r="3" spans="1:8" x14ac:dyDescent="0.25">
      <c r="A3" s="31">
        <v>4067300</v>
      </c>
      <c r="B3" s="31" t="s">
        <v>188</v>
      </c>
      <c r="C3" s="31" t="s">
        <v>189</v>
      </c>
      <c r="D3" s="31" t="s">
        <v>190</v>
      </c>
      <c r="E3" s="31" t="s">
        <v>11</v>
      </c>
      <c r="F3" s="50" t="s">
        <v>25</v>
      </c>
      <c r="G3" s="61">
        <v>7500</v>
      </c>
      <c r="H3" s="44">
        <v>42634</v>
      </c>
    </row>
    <row r="4" spans="1:8" x14ac:dyDescent="0.25">
      <c r="A4" s="31">
        <v>3874400</v>
      </c>
      <c r="B4" s="31" t="s">
        <v>495</v>
      </c>
      <c r="C4" s="31" t="s">
        <v>496</v>
      </c>
      <c r="D4" s="31" t="s">
        <v>19</v>
      </c>
      <c r="E4" s="31" t="s">
        <v>11</v>
      </c>
      <c r="F4" s="50" t="s">
        <v>25</v>
      </c>
      <c r="G4" s="61">
        <v>1000</v>
      </c>
      <c r="H4" s="44">
        <v>42640</v>
      </c>
    </row>
    <row r="5" spans="1:8" x14ac:dyDescent="0.25">
      <c r="A5" s="31">
        <v>4092400</v>
      </c>
      <c r="B5" s="31" t="s">
        <v>509</v>
      </c>
      <c r="C5" s="31" t="s">
        <v>510</v>
      </c>
      <c r="D5" s="31" t="s">
        <v>19</v>
      </c>
      <c r="E5" s="31" t="s">
        <v>9</v>
      </c>
      <c r="F5" s="50" t="s">
        <v>57</v>
      </c>
      <c r="G5" s="61">
        <v>27500</v>
      </c>
      <c r="H5" s="44">
        <v>42640</v>
      </c>
    </row>
    <row r="6" spans="1:8" x14ac:dyDescent="0.25">
      <c r="A6" s="31">
        <v>4152800</v>
      </c>
      <c r="B6" s="31" t="s">
        <v>517</v>
      </c>
      <c r="C6" s="31" t="s">
        <v>518</v>
      </c>
      <c r="D6" s="31" t="s">
        <v>19</v>
      </c>
      <c r="E6" s="31" t="s">
        <v>9</v>
      </c>
      <c r="F6" s="50" t="s">
        <v>25</v>
      </c>
      <c r="G6" s="61">
        <v>15000</v>
      </c>
      <c r="H6" s="44">
        <v>42634</v>
      </c>
    </row>
    <row r="7" spans="1:8" x14ac:dyDescent="0.25">
      <c r="A7" s="31">
        <v>4241700</v>
      </c>
      <c r="B7" s="31" t="s">
        <v>521</v>
      </c>
      <c r="C7" s="31" t="s">
        <v>522</v>
      </c>
      <c r="D7" s="31" t="s">
        <v>19</v>
      </c>
      <c r="E7" s="31" t="s">
        <v>9</v>
      </c>
      <c r="F7" s="50" t="s">
        <v>25</v>
      </c>
      <c r="G7" s="61">
        <v>6500</v>
      </c>
      <c r="H7" s="44">
        <v>42634</v>
      </c>
    </row>
    <row r="8" spans="1:8" x14ac:dyDescent="0.25">
      <c r="A8" s="31">
        <v>4114500</v>
      </c>
      <c r="B8" s="31" t="s">
        <v>523</v>
      </c>
      <c r="C8" s="31" t="s">
        <v>524</v>
      </c>
      <c r="D8" s="31" t="s">
        <v>19</v>
      </c>
      <c r="E8" s="31" t="s">
        <v>9</v>
      </c>
      <c r="F8" s="50" t="s">
        <v>25</v>
      </c>
      <c r="G8" s="61">
        <v>3500</v>
      </c>
      <c r="H8" s="44">
        <v>42634</v>
      </c>
    </row>
    <row r="9" spans="1:8" x14ac:dyDescent="0.25">
      <c r="A9" s="31">
        <v>3027400</v>
      </c>
      <c r="B9" s="31" t="s">
        <v>526</v>
      </c>
      <c r="C9" s="31" t="s">
        <v>527</v>
      </c>
      <c r="D9" s="31" t="s">
        <v>17</v>
      </c>
      <c r="E9" s="31" t="s">
        <v>9</v>
      </c>
      <c r="F9" s="50" t="s">
        <v>57</v>
      </c>
      <c r="G9" s="61">
        <v>30000</v>
      </c>
      <c r="H9" s="44">
        <v>42411</v>
      </c>
    </row>
    <row r="10" spans="1:8" x14ac:dyDescent="0.25">
      <c r="A10" s="31">
        <v>169900</v>
      </c>
      <c r="B10" s="31" t="s">
        <v>507</v>
      </c>
      <c r="C10" s="31" t="s">
        <v>508</v>
      </c>
      <c r="D10" s="31" t="s">
        <v>26</v>
      </c>
      <c r="E10" s="31" t="s">
        <v>14</v>
      </c>
      <c r="F10" s="50" t="s">
        <v>57</v>
      </c>
      <c r="G10" s="61">
        <v>55000</v>
      </c>
      <c r="H10" s="44">
        <v>42409</v>
      </c>
    </row>
    <row r="11" spans="1:8" x14ac:dyDescent="0.25">
      <c r="A11" s="31">
        <v>4205300</v>
      </c>
      <c r="B11" s="31" t="s">
        <v>515</v>
      </c>
      <c r="C11" s="31" t="s">
        <v>516</v>
      </c>
      <c r="D11" s="31" t="s">
        <v>52</v>
      </c>
      <c r="E11" s="31" t="s">
        <v>9</v>
      </c>
      <c r="F11" s="50" t="s">
        <v>57</v>
      </c>
      <c r="G11" s="61">
        <v>10000</v>
      </c>
      <c r="H11" s="44">
        <v>42293</v>
      </c>
    </row>
    <row r="12" spans="1:8" x14ac:dyDescent="0.25">
      <c r="A12" s="31">
        <v>549800</v>
      </c>
      <c r="B12" s="31" t="s">
        <v>525</v>
      </c>
      <c r="C12" s="31" t="s">
        <v>80</v>
      </c>
      <c r="D12" s="31" t="s">
        <v>52</v>
      </c>
      <c r="E12" s="31" t="s">
        <v>14</v>
      </c>
      <c r="F12" s="50" t="s">
        <v>57</v>
      </c>
      <c r="G12" s="61">
        <v>27500</v>
      </c>
      <c r="H12" s="44">
        <v>42447</v>
      </c>
    </row>
    <row r="13" spans="1:8" x14ac:dyDescent="0.25">
      <c r="A13" s="31">
        <v>210900</v>
      </c>
      <c r="B13" s="31" t="s">
        <v>511</v>
      </c>
      <c r="C13" s="31" t="s">
        <v>512</v>
      </c>
      <c r="D13" s="31" t="s">
        <v>309</v>
      </c>
      <c r="E13" s="31" t="s">
        <v>11</v>
      </c>
      <c r="F13" s="50" t="s">
        <v>489</v>
      </c>
      <c r="G13" s="61">
        <v>45000</v>
      </c>
      <c r="H13" s="44">
        <v>42480</v>
      </c>
    </row>
    <row r="14" spans="1:8" x14ac:dyDescent="0.25">
      <c r="A14" s="31">
        <v>1054600</v>
      </c>
      <c r="B14" s="31" t="s">
        <v>490</v>
      </c>
      <c r="C14" s="31" t="s">
        <v>491</v>
      </c>
      <c r="D14" s="31" t="s">
        <v>216</v>
      </c>
      <c r="E14" s="31" t="s">
        <v>14</v>
      </c>
      <c r="F14" s="50" t="s">
        <v>492</v>
      </c>
      <c r="G14" s="61">
        <v>10000</v>
      </c>
      <c r="H14" s="44">
        <v>42403</v>
      </c>
    </row>
    <row r="15" spans="1:8" x14ac:dyDescent="0.25">
      <c r="A15" s="31">
        <v>246800</v>
      </c>
      <c r="B15" s="31" t="s">
        <v>505</v>
      </c>
      <c r="C15" s="31" t="s">
        <v>506</v>
      </c>
      <c r="D15" s="31" t="s">
        <v>10</v>
      </c>
      <c r="E15" s="31" t="s">
        <v>14</v>
      </c>
      <c r="F15" s="50" t="s">
        <v>489</v>
      </c>
      <c r="G15" s="61">
        <v>32500</v>
      </c>
      <c r="H15" s="44">
        <v>42529</v>
      </c>
    </row>
    <row r="16" spans="1:8" x14ac:dyDescent="0.25">
      <c r="A16" s="31">
        <v>4207500</v>
      </c>
      <c r="B16" s="31" t="s">
        <v>513</v>
      </c>
      <c r="C16" s="31" t="s">
        <v>514</v>
      </c>
      <c r="D16" s="31" t="s">
        <v>497</v>
      </c>
      <c r="E16" s="31" t="s">
        <v>9</v>
      </c>
      <c r="F16" s="50" t="s">
        <v>25</v>
      </c>
      <c r="G16" s="61">
        <v>7000</v>
      </c>
      <c r="H16" s="44">
        <v>42619</v>
      </c>
    </row>
    <row r="17" spans="1:8" x14ac:dyDescent="0.25">
      <c r="A17" s="31">
        <v>3358300</v>
      </c>
      <c r="B17" s="31" t="s">
        <v>486</v>
      </c>
      <c r="C17" s="31" t="s">
        <v>487</v>
      </c>
      <c r="D17" s="31" t="s">
        <v>18</v>
      </c>
      <c r="E17" s="31" t="s">
        <v>9</v>
      </c>
      <c r="F17" s="50" t="s">
        <v>231</v>
      </c>
      <c r="G17" s="61">
        <v>3400000</v>
      </c>
      <c r="H17" s="44">
        <v>42562</v>
      </c>
    </row>
    <row r="18" spans="1:8" x14ac:dyDescent="0.25">
      <c r="A18" s="31">
        <v>4074300</v>
      </c>
      <c r="B18" s="31" t="s">
        <v>498</v>
      </c>
      <c r="C18" s="31" t="s">
        <v>499</v>
      </c>
      <c r="D18" s="31" t="s">
        <v>165</v>
      </c>
      <c r="E18" s="31" t="s">
        <v>9</v>
      </c>
      <c r="F18" s="50" t="s">
        <v>500</v>
      </c>
      <c r="G18" s="61">
        <v>27500</v>
      </c>
      <c r="H18" s="44">
        <v>42359</v>
      </c>
    </row>
    <row r="19" spans="1:8" x14ac:dyDescent="0.25">
      <c r="A19" s="31">
        <v>747000</v>
      </c>
      <c r="B19" s="31" t="s">
        <v>488</v>
      </c>
      <c r="C19" s="31" t="s">
        <v>179</v>
      </c>
      <c r="D19" s="31" t="s">
        <v>180</v>
      </c>
      <c r="E19" s="31" t="s">
        <v>9</v>
      </c>
      <c r="F19" s="50" t="s">
        <v>231</v>
      </c>
      <c r="G19" s="61">
        <v>75625000</v>
      </c>
      <c r="H19" s="44">
        <v>42324</v>
      </c>
    </row>
    <row r="20" spans="1:8" hidden="1" x14ac:dyDescent="0.25">
      <c r="A20" s="31"/>
      <c r="B20" s="31"/>
      <c r="C20" s="31"/>
      <c r="D20" s="31"/>
      <c r="E20" s="31"/>
      <c r="F20" s="50"/>
      <c r="G20" s="61"/>
      <c r="H20" s="44"/>
    </row>
    <row r="21" spans="1:8" x14ac:dyDescent="0.25">
      <c r="A21" s="31">
        <v>336000</v>
      </c>
      <c r="B21" s="31" t="s">
        <v>519</v>
      </c>
      <c r="C21" s="31" t="s">
        <v>520</v>
      </c>
      <c r="D21" s="31" t="s">
        <v>180</v>
      </c>
      <c r="E21" s="31" t="s">
        <v>11</v>
      </c>
      <c r="F21" s="50" t="s">
        <v>489</v>
      </c>
      <c r="G21" s="61">
        <v>70000</v>
      </c>
      <c r="H21" s="44">
        <v>42452</v>
      </c>
    </row>
    <row r="22" spans="1:8" x14ac:dyDescent="0.25">
      <c r="A22" s="31">
        <v>3426300</v>
      </c>
      <c r="B22" s="31" t="s">
        <v>493</v>
      </c>
      <c r="C22" s="31" t="s">
        <v>494</v>
      </c>
      <c r="D22" s="31" t="s">
        <v>12</v>
      </c>
      <c r="E22" s="31" t="s">
        <v>9</v>
      </c>
      <c r="F22" s="50" t="s">
        <v>44</v>
      </c>
      <c r="G22" s="61">
        <v>410000</v>
      </c>
      <c r="H22" s="44">
        <v>42489</v>
      </c>
    </row>
    <row r="23" spans="1:8" x14ac:dyDescent="0.25">
      <c r="A23" s="31">
        <v>4138500</v>
      </c>
      <c r="B23" s="31" t="s">
        <v>501</v>
      </c>
      <c r="C23" s="31" t="s">
        <v>194</v>
      </c>
      <c r="D23" s="31" t="s">
        <v>12</v>
      </c>
      <c r="E23" s="31" t="s">
        <v>9</v>
      </c>
      <c r="F23" s="50" t="s">
        <v>25</v>
      </c>
      <c r="G23" s="61">
        <v>14000</v>
      </c>
      <c r="H23" s="44">
        <v>42634</v>
      </c>
    </row>
    <row r="24" spans="1:8" x14ac:dyDescent="0.25">
      <c r="A24" s="31">
        <v>3808300</v>
      </c>
      <c r="B24" s="31" t="s">
        <v>502</v>
      </c>
      <c r="C24" s="31" t="s">
        <v>503</v>
      </c>
      <c r="D24" s="31" t="s">
        <v>504</v>
      </c>
      <c r="E24" s="31" t="s">
        <v>9</v>
      </c>
      <c r="F24" s="50" t="s">
        <v>25</v>
      </c>
      <c r="G24" s="61">
        <v>2500</v>
      </c>
      <c r="H24" s="44">
        <v>42634</v>
      </c>
    </row>
  </sheetData>
  <mergeCells count="1">
    <mergeCell ref="A1:H1"/>
  </mergeCells>
  <pageMargins left="0.7" right="0.7" top="0.75" bottom="0.75" header="0.3" footer="0.3"/>
  <pageSetup orientation="portrait" verticalDpi="599"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sqref="A1:H1"/>
    </sheetView>
  </sheetViews>
  <sheetFormatPr defaultRowHeight="15" x14ac:dyDescent="0.25"/>
  <cols>
    <col min="1" max="1" width="9" style="4" bestFit="1" customWidth="1"/>
    <col min="2" max="2" width="64.140625" bestFit="1" customWidth="1"/>
    <col min="3" max="3" width="16.42578125" bestFit="1" customWidth="1"/>
    <col min="4" max="4" width="5.7109375" bestFit="1" customWidth="1"/>
    <col min="5" max="5" width="12.42578125" bestFit="1" customWidth="1"/>
    <col min="6" max="6" width="24.140625" customWidth="1"/>
    <col min="7" max="7" width="11.7109375" customWidth="1"/>
    <col min="8" max="8" width="10.140625" bestFit="1" customWidth="1"/>
  </cols>
  <sheetData>
    <row r="1" spans="1:8" ht="16.5" thickBot="1" x14ac:dyDescent="0.3">
      <c r="A1" s="97" t="s">
        <v>548</v>
      </c>
      <c r="B1" s="98"/>
      <c r="C1" s="98"/>
      <c r="D1" s="98"/>
      <c r="E1" s="98"/>
      <c r="F1" s="98"/>
      <c r="G1" s="98"/>
      <c r="H1" s="99"/>
    </row>
    <row r="2" spans="1:8" s="23" customFormat="1" ht="43.5" x14ac:dyDescent="0.25">
      <c r="A2" s="25" t="s">
        <v>0</v>
      </c>
      <c r="B2" s="26" t="s">
        <v>101</v>
      </c>
      <c r="C2" s="26" t="s">
        <v>102</v>
      </c>
      <c r="D2" s="26" t="s">
        <v>103</v>
      </c>
      <c r="E2" s="26" t="s">
        <v>104</v>
      </c>
      <c r="F2" s="26" t="s">
        <v>105</v>
      </c>
      <c r="G2" s="27" t="s">
        <v>470</v>
      </c>
      <c r="H2" s="28" t="s">
        <v>468</v>
      </c>
    </row>
    <row r="3" spans="1:8" x14ac:dyDescent="0.25">
      <c r="A3" s="30">
        <v>137800</v>
      </c>
      <c r="B3" s="31" t="s">
        <v>532</v>
      </c>
      <c r="C3" s="31" t="s">
        <v>533</v>
      </c>
      <c r="D3" s="31" t="s">
        <v>248</v>
      </c>
      <c r="E3" s="31" t="s">
        <v>14</v>
      </c>
      <c r="F3" s="31" t="s">
        <v>57</v>
      </c>
      <c r="G3" s="40">
        <v>32500</v>
      </c>
      <c r="H3" s="34">
        <v>42914</v>
      </c>
    </row>
    <row r="4" spans="1:8" x14ac:dyDescent="0.25">
      <c r="A4" s="30">
        <v>893800</v>
      </c>
      <c r="B4" s="31" t="s">
        <v>536</v>
      </c>
      <c r="C4" s="31" t="s">
        <v>537</v>
      </c>
      <c r="D4" s="31" t="s">
        <v>26</v>
      </c>
      <c r="E4" s="31" t="s">
        <v>11</v>
      </c>
      <c r="F4" s="31" t="s">
        <v>57</v>
      </c>
      <c r="G4" s="40">
        <v>20000</v>
      </c>
      <c r="H4" s="34">
        <v>42766</v>
      </c>
    </row>
    <row r="5" spans="1:8" x14ac:dyDescent="0.25">
      <c r="A5" s="30">
        <v>4179100</v>
      </c>
      <c r="B5" s="31" t="s">
        <v>538</v>
      </c>
      <c r="C5" s="31" t="s">
        <v>539</v>
      </c>
      <c r="D5" s="31" t="s">
        <v>26</v>
      </c>
      <c r="E5" s="31" t="s">
        <v>9</v>
      </c>
      <c r="F5" s="31" t="s">
        <v>231</v>
      </c>
      <c r="G5" s="40">
        <v>382500</v>
      </c>
      <c r="H5" s="34">
        <v>42746</v>
      </c>
    </row>
    <row r="6" spans="1:8" x14ac:dyDescent="0.25">
      <c r="A6" s="30">
        <v>4189400</v>
      </c>
      <c r="B6" s="31" t="s">
        <v>544</v>
      </c>
      <c r="C6" s="31" t="s">
        <v>545</v>
      </c>
      <c r="D6" s="31" t="s">
        <v>26</v>
      </c>
      <c r="E6" s="31" t="s">
        <v>9</v>
      </c>
      <c r="F6" s="31" t="s">
        <v>25</v>
      </c>
      <c r="G6" s="40">
        <v>1500</v>
      </c>
      <c r="H6" s="34">
        <v>42990</v>
      </c>
    </row>
    <row r="7" spans="1:8" x14ac:dyDescent="0.25">
      <c r="A7" s="30">
        <v>245800</v>
      </c>
      <c r="B7" s="31" t="s">
        <v>534</v>
      </c>
      <c r="C7" s="31" t="s">
        <v>535</v>
      </c>
      <c r="D7" s="31" t="s">
        <v>10</v>
      </c>
      <c r="E7" s="31" t="s">
        <v>11</v>
      </c>
      <c r="F7" s="31" t="s">
        <v>57</v>
      </c>
      <c r="G7" s="40">
        <v>30000</v>
      </c>
      <c r="H7" s="34">
        <v>42949</v>
      </c>
    </row>
    <row r="8" spans="1:8" x14ac:dyDescent="0.25">
      <c r="A8" s="30">
        <v>3180400</v>
      </c>
      <c r="B8" s="31" t="s">
        <v>540</v>
      </c>
      <c r="C8" s="31" t="s">
        <v>541</v>
      </c>
      <c r="D8" s="31" t="s">
        <v>180</v>
      </c>
      <c r="E8" s="31" t="s">
        <v>14</v>
      </c>
      <c r="F8" s="31" t="s">
        <v>492</v>
      </c>
      <c r="G8" s="40">
        <v>27500</v>
      </c>
      <c r="H8" s="34">
        <v>42977</v>
      </c>
    </row>
    <row r="9" spans="1:8" x14ac:dyDescent="0.25">
      <c r="A9" s="30">
        <v>332900</v>
      </c>
      <c r="B9" s="31" t="s">
        <v>542</v>
      </c>
      <c r="C9" s="31" t="s">
        <v>543</v>
      </c>
      <c r="D9" s="31" t="s">
        <v>180</v>
      </c>
      <c r="E9" s="31" t="s">
        <v>14</v>
      </c>
      <c r="F9" s="31" t="s">
        <v>489</v>
      </c>
      <c r="G9" s="40">
        <v>2397500</v>
      </c>
      <c r="H9" s="34">
        <v>42702</v>
      </c>
    </row>
    <row r="10" spans="1:8" x14ac:dyDescent="0.25">
      <c r="A10" s="30">
        <v>376400</v>
      </c>
      <c r="B10" s="31" t="s">
        <v>546</v>
      </c>
      <c r="C10" s="31" t="s">
        <v>547</v>
      </c>
      <c r="D10" s="31" t="s">
        <v>39</v>
      </c>
      <c r="E10" s="31" t="s">
        <v>14</v>
      </c>
      <c r="F10" s="31" t="s">
        <v>492</v>
      </c>
      <c r="G10" s="40">
        <v>35000</v>
      </c>
      <c r="H10" s="34">
        <v>42914</v>
      </c>
    </row>
    <row r="11" spans="1:8" x14ac:dyDescent="0.25">
      <c r="G11" s="1"/>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3"/>
  <sheetViews>
    <sheetView workbookViewId="0">
      <selection sqref="A1:H1"/>
    </sheetView>
  </sheetViews>
  <sheetFormatPr defaultRowHeight="15" x14ac:dyDescent="0.25"/>
  <cols>
    <col min="1" max="1" width="9" style="4" bestFit="1" customWidth="1"/>
    <col min="2" max="2" width="64.140625" bestFit="1" customWidth="1"/>
    <col min="3" max="3" width="16.42578125" bestFit="1" customWidth="1"/>
    <col min="4" max="4" width="5.7109375" bestFit="1" customWidth="1"/>
    <col min="5" max="5" width="12.42578125" bestFit="1" customWidth="1"/>
    <col min="6" max="6" width="24.140625" customWidth="1"/>
    <col min="7" max="7" width="11.7109375" style="69" customWidth="1"/>
    <col min="8" max="8" width="10.42578125" bestFit="1" customWidth="1"/>
    <col min="25" max="25" width="10.42578125" bestFit="1" customWidth="1"/>
  </cols>
  <sheetData>
    <row r="1" spans="1:25" ht="15.75" x14ac:dyDescent="0.25">
      <c r="A1" s="92" t="s">
        <v>550</v>
      </c>
      <c r="B1" s="95"/>
      <c r="C1" s="95"/>
      <c r="D1" s="95"/>
      <c r="E1" s="95"/>
      <c r="F1" s="95"/>
      <c r="G1" s="95"/>
      <c r="H1" s="96"/>
    </row>
    <row r="2" spans="1:25" s="23" customFormat="1" ht="43.5" x14ac:dyDescent="0.25">
      <c r="A2" s="36" t="s">
        <v>0</v>
      </c>
      <c r="B2" s="37" t="s">
        <v>101</v>
      </c>
      <c r="C2" s="37" t="s">
        <v>102</v>
      </c>
      <c r="D2" s="37" t="s">
        <v>103</v>
      </c>
      <c r="E2" s="37" t="s">
        <v>104</v>
      </c>
      <c r="F2" s="37" t="s">
        <v>105</v>
      </c>
      <c r="G2" s="67" t="s">
        <v>470</v>
      </c>
      <c r="H2" s="39" t="s">
        <v>468</v>
      </c>
    </row>
    <row r="3" spans="1:25" x14ac:dyDescent="0.25">
      <c r="A3" s="31">
        <v>4067300</v>
      </c>
      <c r="B3" s="31" t="s">
        <v>188</v>
      </c>
      <c r="C3" s="31" t="s">
        <v>189</v>
      </c>
      <c r="D3" s="31" t="s">
        <v>190</v>
      </c>
      <c r="E3" s="31" t="s">
        <v>11</v>
      </c>
      <c r="F3" s="31" t="s">
        <v>25</v>
      </c>
      <c r="G3" s="68">
        <v>31500</v>
      </c>
      <c r="H3" s="44">
        <v>43027</v>
      </c>
    </row>
    <row r="4" spans="1:25" x14ac:dyDescent="0.25">
      <c r="A4" s="31">
        <v>122000</v>
      </c>
      <c r="B4" s="31" t="s">
        <v>562</v>
      </c>
      <c r="C4" s="31" t="s">
        <v>563</v>
      </c>
      <c r="D4" s="31" t="s">
        <v>19</v>
      </c>
      <c r="E4" s="31" t="s">
        <v>11</v>
      </c>
      <c r="F4" s="31" t="s">
        <v>489</v>
      </c>
      <c r="G4" s="68">
        <v>29000</v>
      </c>
      <c r="H4" s="44">
        <v>43076</v>
      </c>
      <c r="L4" s="65"/>
      <c r="N4" s="65"/>
      <c r="R4" s="65"/>
      <c r="V4" s="66"/>
      <c r="W4" s="66"/>
      <c r="Y4" s="65"/>
    </row>
    <row r="5" spans="1:25" x14ac:dyDescent="0.25">
      <c r="A5" s="31">
        <v>124900</v>
      </c>
      <c r="B5" s="31" t="s">
        <v>553</v>
      </c>
      <c r="C5" s="31" t="s">
        <v>37</v>
      </c>
      <c r="D5" s="31" t="s">
        <v>19</v>
      </c>
      <c r="E5" s="31" t="s">
        <v>11</v>
      </c>
      <c r="F5" s="31" t="s">
        <v>489</v>
      </c>
      <c r="G5" s="68">
        <v>83000</v>
      </c>
      <c r="H5" s="44">
        <v>43034</v>
      </c>
    </row>
    <row r="6" spans="1:25" x14ac:dyDescent="0.25">
      <c r="A6" s="31">
        <v>2518500</v>
      </c>
      <c r="B6" s="31" t="s">
        <v>576</v>
      </c>
      <c r="C6" s="31" t="s">
        <v>577</v>
      </c>
      <c r="D6" s="31" t="s">
        <v>17</v>
      </c>
      <c r="E6" s="31" t="s">
        <v>9</v>
      </c>
      <c r="F6" s="31" t="s">
        <v>578</v>
      </c>
      <c r="G6" s="68">
        <v>10000</v>
      </c>
      <c r="H6" s="44">
        <v>43081</v>
      </c>
      <c r="L6" s="65"/>
      <c r="N6" s="65"/>
      <c r="R6" s="65"/>
      <c r="V6" s="66"/>
      <c r="W6" s="66"/>
      <c r="Y6" s="65"/>
    </row>
    <row r="7" spans="1:25" x14ac:dyDescent="0.25">
      <c r="A7" s="31">
        <v>840300</v>
      </c>
      <c r="B7" s="31" t="s">
        <v>574</v>
      </c>
      <c r="C7" s="31" t="s">
        <v>575</v>
      </c>
      <c r="D7" s="31" t="s">
        <v>31</v>
      </c>
      <c r="E7" s="31" t="s">
        <v>14</v>
      </c>
      <c r="F7" s="31" t="s">
        <v>489</v>
      </c>
      <c r="G7" s="68">
        <v>40000</v>
      </c>
      <c r="H7" s="44">
        <v>43075</v>
      </c>
      <c r="L7" s="65"/>
      <c r="N7" s="65"/>
      <c r="R7" s="65"/>
      <c r="V7" s="66"/>
      <c r="W7" s="66"/>
      <c r="Y7" s="65"/>
    </row>
    <row r="8" spans="1:25" x14ac:dyDescent="0.25">
      <c r="A8" s="31">
        <v>4137500</v>
      </c>
      <c r="B8" s="31" t="s">
        <v>552</v>
      </c>
      <c r="C8" s="31" t="s">
        <v>49</v>
      </c>
      <c r="D8" s="31" t="s">
        <v>26</v>
      </c>
      <c r="E8" s="31" t="s">
        <v>9</v>
      </c>
      <c r="F8" s="31" t="s">
        <v>489</v>
      </c>
      <c r="G8" s="68">
        <v>28000</v>
      </c>
      <c r="H8" s="44">
        <v>43027</v>
      </c>
    </row>
    <row r="9" spans="1:25" x14ac:dyDescent="0.25">
      <c r="A9" s="31">
        <v>191000</v>
      </c>
      <c r="B9" s="31" t="s">
        <v>588</v>
      </c>
      <c r="C9" s="31" t="s">
        <v>589</v>
      </c>
      <c r="D9" s="31" t="s">
        <v>52</v>
      </c>
      <c r="E9" s="31" t="s">
        <v>14</v>
      </c>
      <c r="F9" s="31" t="s">
        <v>489</v>
      </c>
      <c r="G9" s="68">
        <v>105000</v>
      </c>
      <c r="H9" s="44">
        <v>43276</v>
      </c>
      <c r="L9" s="65"/>
      <c r="N9" s="65"/>
      <c r="R9" s="65"/>
      <c r="V9" s="66"/>
      <c r="W9" s="66"/>
      <c r="Y9" s="65"/>
    </row>
    <row r="10" spans="1:25" x14ac:dyDescent="0.25">
      <c r="A10" s="31">
        <v>2491100</v>
      </c>
      <c r="B10" s="31" t="s">
        <v>557</v>
      </c>
      <c r="C10" s="31" t="s">
        <v>558</v>
      </c>
      <c r="D10" s="31" t="s">
        <v>40</v>
      </c>
      <c r="E10" s="31" t="s">
        <v>9</v>
      </c>
      <c r="F10" s="31" t="s">
        <v>25</v>
      </c>
      <c r="G10" s="68">
        <v>11250</v>
      </c>
      <c r="H10" s="44">
        <v>43056</v>
      </c>
    </row>
    <row r="11" spans="1:25" x14ac:dyDescent="0.25">
      <c r="A11" s="31">
        <v>462500</v>
      </c>
      <c r="B11" s="31" t="s">
        <v>590</v>
      </c>
      <c r="C11" s="31" t="s">
        <v>591</v>
      </c>
      <c r="D11" s="31" t="s">
        <v>168</v>
      </c>
      <c r="E11" s="31" t="s">
        <v>14</v>
      </c>
      <c r="F11" s="31" t="s">
        <v>489</v>
      </c>
      <c r="G11" s="68">
        <v>125750</v>
      </c>
      <c r="H11" s="44">
        <v>43076</v>
      </c>
    </row>
    <row r="12" spans="1:25" x14ac:dyDescent="0.25">
      <c r="A12" s="31">
        <v>4168900</v>
      </c>
      <c r="B12" s="31" t="s">
        <v>559</v>
      </c>
      <c r="C12" s="31" t="s">
        <v>308</v>
      </c>
      <c r="D12" s="31" t="s">
        <v>309</v>
      </c>
      <c r="E12" s="31" t="s">
        <v>9</v>
      </c>
      <c r="F12" s="31" t="s">
        <v>25</v>
      </c>
      <c r="G12" s="68">
        <v>3000</v>
      </c>
      <c r="H12" s="44">
        <v>43056</v>
      </c>
    </row>
    <row r="13" spans="1:25" x14ac:dyDescent="0.25">
      <c r="A13" s="31">
        <v>1258000</v>
      </c>
      <c r="B13" s="31" t="s">
        <v>579</v>
      </c>
      <c r="C13" s="31" t="s">
        <v>580</v>
      </c>
      <c r="D13" s="31" t="s">
        <v>10</v>
      </c>
      <c r="E13" s="31" t="s">
        <v>11</v>
      </c>
      <c r="F13" s="31" t="s">
        <v>489</v>
      </c>
      <c r="G13" s="68">
        <v>22500</v>
      </c>
      <c r="H13" s="44">
        <v>43088</v>
      </c>
      <c r="L13" s="65"/>
      <c r="N13" s="65"/>
      <c r="R13" s="65"/>
      <c r="V13" s="66"/>
      <c r="W13" s="66"/>
      <c r="Y13" s="65"/>
    </row>
    <row r="14" spans="1:25" x14ac:dyDescent="0.25">
      <c r="A14" s="31">
        <v>250400</v>
      </c>
      <c r="B14" s="31" t="s">
        <v>569</v>
      </c>
      <c r="C14" s="31" t="s">
        <v>570</v>
      </c>
      <c r="D14" s="31" t="s">
        <v>10</v>
      </c>
      <c r="E14" s="31" t="s">
        <v>11</v>
      </c>
      <c r="F14" s="31" t="s">
        <v>57</v>
      </c>
      <c r="G14" s="68">
        <v>45000</v>
      </c>
      <c r="H14" s="44">
        <v>43018</v>
      </c>
      <c r="L14" s="65"/>
      <c r="N14" s="65"/>
      <c r="R14" s="65"/>
      <c r="V14" s="66"/>
      <c r="W14" s="66"/>
      <c r="Y14" s="65"/>
    </row>
    <row r="15" spans="1:25" x14ac:dyDescent="0.25">
      <c r="A15" s="31">
        <v>299000</v>
      </c>
      <c r="B15" s="31" t="s">
        <v>583</v>
      </c>
      <c r="C15" s="31" t="s">
        <v>584</v>
      </c>
      <c r="D15" s="31" t="s">
        <v>251</v>
      </c>
      <c r="E15" s="31" t="s">
        <v>11</v>
      </c>
      <c r="F15" s="31" t="s">
        <v>489</v>
      </c>
      <c r="G15" s="68">
        <v>147000</v>
      </c>
      <c r="H15" s="44">
        <v>43166</v>
      </c>
      <c r="L15" s="65"/>
      <c r="N15" s="65"/>
      <c r="R15" s="65"/>
      <c r="V15" s="66"/>
      <c r="W15" s="66"/>
      <c r="Y15" s="65"/>
    </row>
    <row r="16" spans="1:25" x14ac:dyDescent="0.25">
      <c r="A16" s="31">
        <v>1297600</v>
      </c>
      <c r="B16" s="31" t="s">
        <v>567</v>
      </c>
      <c r="C16" s="31" t="s">
        <v>568</v>
      </c>
      <c r="D16" s="31" t="s">
        <v>78</v>
      </c>
      <c r="E16" s="31" t="s">
        <v>11</v>
      </c>
      <c r="F16" s="31" t="s">
        <v>57</v>
      </c>
      <c r="G16" s="68">
        <v>55000</v>
      </c>
      <c r="H16" s="44">
        <v>43222</v>
      </c>
      <c r="L16" s="65"/>
      <c r="N16" s="65"/>
      <c r="R16" s="65"/>
      <c r="V16" s="66"/>
      <c r="W16" s="66"/>
      <c r="Y16" s="65"/>
    </row>
    <row r="17" spans="1:25" x14ac:dyDescent="0.25">
      <c r="A17" s="31">
        <v>261000</v>
      </c>
      <c r="B17" s="31" t="s">
        <v>585</v>
      </c>
      <c r="C17" s="31" t="s">
        <v>586</v>
      </c>
      <c r="D17" s="31" t="s">
        <v>497</v>
      </c>
      <c r="E17" s="31" t="s">
        <v>11</v>
      </c>
      <c r="F17" s="31" t="s">
        <v>489</v>
      </c>
      <c r="G17" s="68">
        <v>65000</v>
      </c>
      <c r="H17" s="44">
        <v>43171</v>
      </c>
      <c r="L17" s="65"/>
      <c r="N17" s="65"/>
      <c r="R17" s="65"/>
      <c r="V17" s="66"/>
      <c r="W17" s="66"/>
      <c r="Y17" s="65"/>
    </row>
    <row r="18" spans="1:25" x14ac:dyDescent="0.25">
      <c r="A18" s="31">
        <v>4218200</v>
      </c>
      <c r="B18" s="31" t="s">
        <v>560</v>
      </c>
      <c r="C18" s="31" t="s">
        <v>561</v>
      </c>
      <c r="D18" s="31" t="s">
        <v>497</v>
      </c>
      <c r="E18" s="31" t="s">
        <v>9</v>
      </c>
      <c r="F18" s="31" t="s">
        <v>25</v>
      </c>
      <c r="G18" s="68">
        <v>14000</v>
      </c>
      <c r="H18" s="44">
        <v>43056</v>
      </c>
    </row>
    <row r="19" spans="1:25" x14ac:dyDescent="0.25">
      <c r="A19" s="31">
        <v>2556700</v>
      </c>
      <c r="B19" s="31" t="s">
        <v>551</v>
      </c>
      <c r="C19" s="31" t="s">
        <v>207</v>
      </c>
      <c r="D19" s="31" t="s">
        <v>18</v>
      </c>
      <c r="E19" s="31" t="s">
        <v>11</v>
      </c>
      <c r="F19" s="31" t="s">
        <v>25</v>
      </c>
      <c r="G19" s="68">
        <v>1750</v>
      </c>
      <c r="H19" s="44">
        <v>43027</v>
      </c>
    </row>
    <row r="20" spans="1:25" x14ac:dyDescent="0.25">
      <c r="A20" s="31">
        <v>653400</v>
      </c>
      <c r="B20" s="31" t="s">
        <v>581</v>
      </c>
      <c r="C20" s="31" t="s">
        <v>582</v>
      </c>
      <c r="D20" s="31" t="s">
        <v>180</v>
      </c>
      <c r="E20" s="31" t="s">
        <v>11</v>
      </c>
      <c r="F20" s="31" t="s">
        <v>578</v>
      </c>
      <c r="G20" s="68">
        <v>10000</v>
      </c>
      <c r="H20" s="44">
        <v>43145</v>
      </c>
      <c r="L20" s="65"/>
      <c r="N20" s="65"/>
      <c r="R20" s="65"/>
      <c r="V20" s="66"/>
      <c r="W20" s="66"/>
      <c r="Y20" s="65"/>
    </row>
    <row r="21" spans="1:25" x14ac:dyDescent="0.25">
      <c r="A21" s="31">
        <v>338400</v>
      </c>
      <c r="B21" s="31" t="s">
        <v>572</v>
      </c>
      <c r="C21" s="31" t="s">
        <v>573</v>
      </c>
      <c r="D21" s="31" t="s">
        <v>180</v>
      </c>
      <c r="E21" s="31" t="s">
        <v>11</v>
      </c>
      <c r="F21" s="31" t="s">
        <v>57</v>
      </c>
      <c r="G21" s="68">
        <v>35000</v>
      </c>
      <c r="H21" s="44">
        <v>43039</v>
      </c>
      <c r="L21" s="65"/>
      <c r="N21" s="65"/>
      <c r="R21" s="65"/>
      <c r="V21" s="66"/>
      <c r="W21" s="66"/>
      <c r="Y21" s="65"/>
    </row>
    <row r="22" spans="1:25" x14ac:dyDescent="0.25">
      <c r="A22" s="31">
        <v>344600</v>
      </c>
      <c r="B22" s="31" t="s">
        <v>554</v>
      </c>
      <c r="C22" s="31" t="s">
        <v>255</v>
      </c>
      <c r="D22" s="31" t="s">
        <v>13</v>
      </c>
      <c r="E22" s="31" t="s">
        <v>14</v>
      </c>
      <c r="F22" s="31" t="s">
        <v>489</v>
      </c>
      <c r="G22" s="68">
        <v>57500</v>
      </c>
      <c r="H22" s="44">
        <v>43034</v>
      </c>
    </row>
    <row r="23" spans="1:25" x14ac:dyDescent="0.25">
      <c r="A23" s="31">
        <v>1052900</v>
      </c>
      <c r="B23" s="31" t="s">
        <v>571</v>
      </c>
      <c r="C23" s="31" t="s">
        <v>218</v>
      </c>
      <c r="D23" s="31" t="s">
        <v>138</v>
      </c>
      <c r="E23" s="31" t="s">
        <v>11</v>
      </c>
      <c r="F23" s="31" t="s">
        <v>489</v>
      </c>
      <c r="G23" s="68">
        <v>37500</v>
      </c>
      <c r="H23" s="44">
        <v>43026</v>
      </c>
      <c r="L23" s="65"/>
      <c r="N23" s="65"/>
      <c r="R23" s="65"/>
      <c r="V23" s="66"/>
      <c r="W23" s="66"/>
      <c r="Y23" s="65"/>
    </row>
    <row r="24" spans="1:25" x14ac:dyDescent="0.25">
      <c r="A24" s="31">
        <v>365400</v>
      </c>
      <c r="B24" s="31" t="s">
        <v>587</v>
      </c>
      <c r="C24" s="31" t="s">
        <v>194</v>
      </c>
      <c r="D24" s="31" t="s">
        <v>12</v>
      </c>
      <c r="E24" s="31" t="s">
        <v>11</v>
      </c>
      <c r="F24" s="31" t="s">
        <v>489</v>
      </c>
      <c r="G24" s="68">
        <v>86000</v>
      </c>
      <c r="H24" s="44">
        <v>43186</v>
      </c>
      <c r="L24" s="65"/>
      <c r="N24" s="65"/>
      <c r="R24" s="65"/>
      <c r="V24" s="66"/>
      <c r="W24" s="66"/>
      <c r="Y24" s="65"/>
    </row>
    <row r="25" spans="1:25" x14ac:dyDescent="0.25">
      <c r="A25" s="31">
        <v>4179900</v>
      </c>
      <c r="B25" s="31" t="s">
        <v>555</v>
      </c>
      <c r="C25" s="31" t="s">
        <v>556</v>
      </c>
      <c r="D25" s="31" t="s">
        <v>39</v>
      </c>
      <c r="E25" s="31" t="s">
        <v>9</v>
      </c>
      <c r="F25" s="31" t="s">
        <v>25</v>
      </c>
      <c r="G25" s="68">
        <v>6000</v>
      </c>
      <c r="H25" s="44">
        <v>43040</v>
      </c>
    </row>
    <row r="26" spans="1:25" x14ac:dyDescent="0.25">
      <c r="A26" s="31">
        <v>393000</v>
      </c>
      <c r="B26" s="31" t="s">
        <v>564</v>
      </c>
      <c r="C26" s="31" t="s">
        <v>565</v>
      </c>
      <c r="D26" s="31" t="s">
        <v>566</v>
      </c>
      <c r="E26" s="31" t="s">
        <v>14</v>
      </c>
      <c r="F26" s="31" t="s">
        <v>57</v>
      </c>
      <c r="G26" s="68">
        <v>27000</v>
      </c>
      <c r="H26" s="44">
        <v>43076</v>
      </c>
      <c r="L26" s="65"/>
      <c r="N26" s="65"/>
      <c r="R26" s="65"/>
      <c r="V26" s="66"/>
      <c r="W26" s="66"/>
      <c r="Y26" s="65"/>
    </row>
    <row r="27" spans="1:25" x14ac:dyDescent="0.25">
      <c r="A27"/>
      <c r="L27" s="65"/>
      <c r="N27" s="65"/>
      <c r="R27" s="65"/>
      <c r="V27" s="66"/>
      <c r="W27" s="66"/>
      <c r="Y27" s="65"/>
    </row>
    <row r="28" spans="1:25" x14ac:dyDescent="0.25">
      <c r="A28"/>
      <c r="L28" s="65"/>
      <c r="N28" s="65"/>
      <c r="R28" s="65"/>
      <c r="V28" s="66"/>
      <c r="W28" s="66"/>
      <c r="Y28" s="65"/>
    </row>
    <row r="29" spans="1:25" x14ac:dyDescent="0.25">
      <c r="A29"/>
      <c r="L29" s="65"/>
      <c r="N29" s="65"/>
      <c r="R29" s="65"/>
      <c r="V29" s="66"/>
      <c r="W29" s="66"/>
      <c r="Y29" s="65"/>
    </row>
    <row r="30" spans="1:25" x14ac:dyDescent="0.25">
      <c r="A30"/>
      <c r="L30" s="65"/>
      <c r="N30" s="65"/>
      <c r="R30" s="65"/>
      <c r="V30" s="66"/>
      <c r="W30" s="66"/>
      <c r="Y30" s="65"/>
    </row>
    <row r="31" spans="1:25" x14ac:dyDescent="0.25">
      <c r="A31"/>
      <c r="L31" s="65"/>
      <c r="N31" s="65"/>
      <c r="R31" s="65"/>
      <c r="V31" s="66"/>
      <c r="W31" s="66"/>
      <c r="Y31" s="65"/>
    </row>
    <row r="32" spans="1:25" x14ac:dyDescent="0.25">
      <c r="A32"/>
      <c r="L32" s="65"/>
      <c r="N32" s="65"/>
      <c r="R32" s="65"/>
      <c r="V32" s="66"/>
      <c r="W32" s="66"/>
      <c r="Y32" s="65"/>
    </row>
    <row r="33" spans="1:25" x14ac:dyDescent="0.25">
      <c r="A33"/>
      <c r="L33" s="65"/>
      <c r="N33" s="65"/>
      <c r="R33" s="65"/>
      <c r="V33" s="66"/>
      <c r="W33" s="66"/>
      <c r="Y33" s="65"/>
    </row>
    <row r="34" spans="1:25" x14ac:dyDescent="0.25">
      <c r="A34"/>
      <c r="L34" s="65"/>
      <c r="N34" s="65"/>
      <c r="R34" s="65"/>
      <c r="V34" s="66"/>
      <c r="W34" s="66"/>
      <c r="Y34" s="65"/>
    </row>
    <row r="35" spans="1:25" x14ac:dyDescent="0.25">
      <c r="A35"/>
      <c r="L35" s="65"/>
      <c r="N35" s="65"/>
      <c r="R35" s="65"/>
      <c r="V35" s="66"/>
      <c r="W35" s="66"/>
      <c r="Y35" s="65"/>
    </row>
    <row r="36" spans="1:25" x14ac:dyDescent="0.25">
      <c r="A36"/>
      <c r="L36" s="65"/>
      <c r="N36" s="65"/>
      <c r="R36" s="65"/>
      <c r="V36" s="66"/>
      <c r="W36" s="66"/>
      <c r="Y36" s="65"/>
    </row>
    <row r="37" spans="1:25" x14ac:dyDescent="0.25">
      <c r="A37"/>
      <c r="L37" s="65"/>
      <c r="N37" s="65"/>
      <c r="R37" s="65"/>
      <c r="V37" s="66"/>
      <c r="W37" s="66"/>
      <c r="Y37" s="65"/>
    </row>
    <row r="38" spans="1:25" x14ac:dyDescent="0.25">
      <c r="A38"/>
      <c r="L38" s="65"/>
      <c r="N38" s="65"/>
      <c r="R38" s="65"/>
      <c r="V38" s="66"/>
      <c r="W38" s="66"/>
      <c r="Y38" s="65"/>
    </row>
    <row r="39" spans="1:25" x14ac:dyDescent="0.25">
      <c r="A39"/>
      <c r="L39" s="65"/>
      <c r="N39" s="65"/>
      <c r="R39" s="65"/>
      <c r="V39" s="66"/>
      <c r="W39" s="66"/>
      <c r="Y39" s="65"/>
    </row>
    <row r="40" spans="1:25" x14ac:dyDescent="0.25">
      <c r="A40"/>
      <c r="L40" s="65"/>
      <c r="N40" s="65"/>
      <c r="R40" s="65"/>
      <c r="V40" s="66"/>
      <c r="W40" s="66"/>
      <c r="Y40" s="65"/>
    </row>
    <row r="41" spans="1:25" x14ac:dyDescent="0.25">
      <c r="A41"/>
      <c r="L41" s="65"/>
      <c r="N41" s="65"/>
      <c r="R41" s="65"/>
      <c r="V41" s="66"/>
      <c r="W41" s="66"/>
      <c r="Y41" s="65"/>
    </row>
    <row r="42" spans="1:25" x14ac:dyDescent="0.25">
      <c r="A42"/>
      <c r="L42" s="65"/>
      <c r="N42" s="65"/>
      <c r="R42" s="65"/>
      <c r="V42" s="66"/>
      <c r="W42" s="66"/>
      <c r="Y42" s="65"/>
    </row>
    <row r="43" spans="1:25" x14ac:dyDescent="0.25">
      <c r="A43"/>
      <c r="L43" s="65"/>
      <c r="N43" s="65"/>
      <c r="R43" s="65"/>
      <c r="V43" s="66"/>
      <c r="W43" s="66"/>
      <c r="Y43" s="65"/>
    </row>
    <row r="44" spans="1:25" x14ac:dyDescent="0.25">
      <c r="A44"/>
      <c r="L44" s="65"/>
      <c r="N44" s="65"/>
      <c r="R44" s="65"/>
      <c r="V44" s="66"/>
      <c r="W44" s="66"/>
      <c r="Y44" s="65"/>
    </row>
    <row r="45" spans="1:25" x14ac:dyDescent="0.25">
      <c r="A45"/>
      <c r="L45" s="65"/>
      <c r="N45" s="65"/>
      <c r="R45" s="65"/>
      <c r="V45" s="66"/>
      <c r="W45" s="66"/>
      <c r="Y45" s="65"/>
    </row>
    <row r="46" spans="1:25" x14ac:dyDescent="0.25">
      <c r="A46"/>
      <c r="L46" s="65"/>
      <c r="N46" s="65"/>
      <c r="R46" s="65"/>
      <c r="V46" s="66"/>
      <c r="W46" s="66"/>
      <c r="Y46" s="65"/>
    </row>
    <row r="47" spans="1:25" x14ac:dyDescent="0.25">
      <c r="A47"/>
      <c r="L47" s="65"/>
      <c r="N47" s="65"/>
      <c r="R47" s="65"/>
      <c r="V47" s="66"/>
      <c r="W47" s="66"/>
      <c r="Y47" s="65"/>
    </row>
    <row r="48" spans="1:25" x14ac:dyDescent="0.25">
      <c r="A48"/>
      <c r="L48" s="65"/>
      <c r="N48" s="65"/>
      <c r="R48" s="65"/>
      <c r="V48" s="66"/>
      <c r="W48" s="66"/>
      <c r="Y48" s="65"/>
    </row>
    <row r="49" spans="1:25" x14ac:dyDescent="0.25">
      <c r="A49"/>
      <c r="L49" s="65"/>
      <c r="N49" s="65"/>
      <c r="R49" s="65"/>
      <c r="V49" s="66"/>
      <c r="W49" s="66"/>
      <c r="Y49" s="65"/>
    </row>
    <row r="50" spans="1:25" x14ac:dyDescent="0.25">
      <c r="A50"/>
      <c r="L50" s="65"/>
      <c r="N50" s="65"/>
      <c r="R50" s="65"/>
      <c r="V50" s="66"/>
      <c r="W50" s="66"/>
      <c r="Y50" s="65"/>
    </row>
    <row r="51" spans="1:25" x14ac:dyDescent="0.25">
      <c r="A51"/>
      <c r="L51" s="65"/>
      <c r="N51" s="65"/>
      <c r="R51" s="65"/>
      <c r="V51" s="66"/>
      <c r="W51" s="66"/>
      <c r="Y51" s="65"/>
    </row>
    <row r="52" spans="1:25" x14ac:dyDescent="0.25">
      <c r="A52"/>
      <c r="L52" s="65"/>
      <c r="N52" s="65"/>
      <c r="R52" s="65"/>
      <c r="V52" s="66"/>
      <c r="W52" s="66"/>
      <c r="Y52" s="65"/>
    </row>
    <row r="53" spans="1:25" x14ac:dyDescent="0.25">
      <c r="A53"/>
      <c r="L53" s="65"/>
      <c r="N53" s="65"/>
      <c r="R53" s="65"/>
      <c r="V53" s="66"/>
      <c r="W53" s="66"/>
      <c r="Y53" s="65"/>
    </row>
    <row r="54" spans="1:25" x14ac:dyDescent="0.25">
      <c r="A54"/>
      <c r="L54" s="65"/>
      <c r="N54" s="65"/>
      <c r="R54" s="65"/>
      <c r="V54" s="66"/>
      <c r="W54" s="66"/>
      <c r="Y54" s="65"/>
    </row>
    <row r="55" spans="1:25" x14ac:dyDescent="0.25">
      <c r="A55"/>
      <c r="L55" s="65"/>
      <c r="N55" s="65"/>
      <c r="R55" s="65"/>
      <c r="V55" s="66"/>
      <c r="W55" s="66"/>
      <c r="Y55" s="65"/>
    </row>
    <row r="56" spans="1:25" x14ac:dyDescent="0.25">
      <c r="A56"/>
      <c r="L56" s="65"/>
      <c r="N56" s="65"/>
      <c r="R56" s="65"/>
      <c r="V56" s="66"/>
      <c r="W56" s="66"/>
      <c r="Y56" s="65"/>
    </row>
    <row r="57" spans="1:25" x14ac:dyDescent="0.25">
      <c r="A57"/>
      <c r="L57" s="65"/>
      <c r="N57" s="65"/>
      <c r="R57" s="65"/>
      <c r="V57" s="66"/>
      <c r="W57" s="66"/>
      <c r="Y57" s="65"/>
    </row>
    <row r="58" spans="1:25" x14ac:dyDescent="0.25">
      <c r="A58"/>
      <c r="L58" s="65"/>
      <c r="N58" s="65"/>
      <c r="R58" s="65"/>
      <c r="V58" s="66"/>
      <c r="W58" s="66"/>
      <c r="Y58" s="65"/>
    </row>
    <row r="59" spans="1:25" x14ac:dyDescent="0.25">
      <c r="A59"/>
      <c r="L59" s="65"/>
      <c r="N59" s="65"/>
      <c r="R59" s="65"/>
      <c r="V59" s="66"/>
      <c r="W59" s="66"/>
      <c r="Y59" s="65"/>
    </row>
    <row r="60" spans="1:25" x14ac:dyDescent="0.25">
      <c r="A60"/>
      <c r="L60" s="65"/>
      <c r="N60" s="65"/>
      <c r="R60" s="65"/>
      <c r="V60" s="66"/>
      <c r="W60" s="66"/>
      <c r="Y60" s="65"/>
    </row>
    <row r="61" spans="1:25" x14ac:dyDescent="0.25">
      <c r="A61"/>
      <c r="L61" s="65"/>
      <c r="N61" s="65"/>
      <c r="R61" s="65"/>
      <c r="V61" s="66"/>
      <c r="W61" s="66"/>
      <c r="Y61" s="65"/>
    </row>
    <row r="62" spans="1:25" x14ac:dyDescent="0.25">
      <c r="A62"/>
      <c r="L62" s="65"/>
      <c r="N62" s="65"/>
      <c r="R62" s="65"/>
      <c r="V62" s="66"/>
      <c r="W62" s="66"/>
      <c r="Y62" s="65"/>
    </row>
    <row r="63" spans="1:25" x14ac:dyDescent="0.25">
      <c r="A63"/>
      <c r="L63" s="65"/>
      <c r="N63" s="65"/>
      <c r="R63" s="65"/>
      <c r="V63" s="66"/>
      <c r="W63" s="66"/>
      <c r="Y63" s="65"/>
    </row>
    <row r="64" spans="1:25" x14ac:dyDescent="0.25">
      <c r="A64"/>
      <c r="L64" s="65"/>
      <c r="N64" s="65"/>
      <c r="R64" s="65"/>
      <c r="V64" s="66"/>
      <c r="W64" s="66"/>
      <c r="Y64" s="65"/>
    </row>
    <row r="65" spans="1:25" x14ac:dyDescent="0.25">
      <c r="A65"/>
      <c r="L65" s="65"/>
      <c r="N65" s="65"/>
      <c r="R65" s="65"/>
      <c r="V65" s="66"/>
      <c r="W65" s="66"/>
      <c r="Y65" s="65"/>
    </row>
    <row r="66" spans="1:25" x14ac:dyDescent="0.25">
      <c r="A66"/>
      <c r="L66" s="65"/>
      <c r="N66" s="65"/>
      <c r="R66" s="65"/>
      <c r="V66" s="66"/>
      <c r="W66" s="66"/>
      <c r="Y66" s="65"/>
    </row>
    <row r="67" spans="1:25" x14ac:dyDescent="0.25">
      <c r="A67"/>
      <c r="L67" s="65"/>
      <c r="N67" s="65"/>
      <c r="R67" s="65"/>
      <c r="V67" s="66"/>
      <c r="W67" s="66"/>
      <c r="Y67" s="65"/>
    </row>
    <row r="68" spans="1:25" x14ac:dyDescent="0.25">
      <c r="A68"/>
      <c r="L68" s="65"/>
      <c r="N68" s="65"/>
      <c r="R68" s="65"/>
      <c r="V68" s="66"/>
      <c r="W68" s="66"/>
      <c r="Y68" s="65"/>
    </row>
    <row r="69" spans="1:25" x14ac:dyDescent="0.25">
      <c r="A69"/>
      <c r="L69" s="65"/>
      <c r="N69" s="65"/>
      <c r="R69" s="65"/>
      <c r="V69" s="66"/>
      <c r="W69" s="66"/>
      <c r="Y69" s="65"/>
    </row>
    <row r="70" spans="1:25" x14ac:dyDescent="0.25">
      <c r="A70"/>
      <c r="L70" s="65"/>
      <c r="N70" s="65"/>
      <c r="R70" s="65"/>
      <c r="V70" s="66"/>
      <c r="W70" s="66"/>
      <c r="Y70" s="65"/>
    </row>
    <row r="71" spans="1:25" x14ac:dyDescent="0.25">
      <c r="A71"/>
      <c r="L71" s="65"/>
      <c r="N71" s="65"/>
      <c r="R71" s="65"/>
      <c r="V71" s="66"/>
      <c r="W71" s="66"/>
      <c r="Y71" s="65"/>
    </row>
    <row r="72" spans="1:25" x14ac:dyDescent="0.25">
      <c r="A72"/>
      <c r="L72" s="65"/>
      <c r="N72" s="65"/>
      <c r="R72" s="65"/>
      <c r="V72" s="66"/>
      <c r="W72" s="66"/>
      <c r="Y72" s="65"/>
    </row>
    <row r="73" spans="1:25" x14ac:dyDescent="0.25">
      <c r="A73"/>
      <c r="L73" s="65"/>
      <c r="N73" s="65"/>
      <c r="R73" s="65"/>
      <c r="V73" s="66"/>
      <c r="W73" s="66"/>
      <c r="Y73" s="65"/>
    </row>
    <row r="74" spans="1:25" x14ac:dyDescent="0.25">
      <c r="A74"/>
      <c r="L74" s="65"/>
      <c r="N74" s="65"/>
      <c r="R74" s="65"/>
      <c r="V74" s="66"/>
      <c r="W74" s="66"/>
      <c r="Y74" s="65"/>
    </row>
    <row r="75" spans="1:25" x14ac:dyDescent="0.25">
      <c r="A75"/>
      <c r="L75" s="65"/>
      <c r="N75" s="65"/>
      <c r="R75" s="65"/>
      <c r="V75" s="66"/>
      <c r="W75" s="66"/>
      <c r="Y75" s="65"/>
    </row>
    <row r="76" spans="1:25" x14ac:dyDescent="0.25">
      <c r="A76"/>
      <c r="L76" s="65"/>
      <c r="N76" s="65"/>
      <c r="R76" s="65"/>
      <c r="V76" s="66"/>
      <c r="W76" s="66"/>
      <c r="Y76" s="65"/>
    </row>
    <row r="77" spans="1:25" x14ac:dyDescent="0.25">
      <c r="A77"/>
      <c r="L77" s="65"/>
      <c r="N77" s="65"/>
      <c r="R77" s="65"/>
      <c r="V77" s="66"/>
      <c r="W77" s="66"/>
      <c r="Y77" s="65"/>
    </row>
    <row r="78" spans="1:25" x14ac:dyDescent="0.25">
      <c r="A78"/>
      <c r="L78" s="65"/>
      <c r="N78" s="65"/>
      <c r="R78" s="65"/>
      <c r="V78" s="66"/>
      <c r="W78" s="66"/>
      <c r="Y78" s="65"/>
    </row>
    <row r="79" spans="1:25" x14ac:dyDescent="0.25">
      <c r="A79"/>
      <c r="L79" s="65"/>
      <c r="N79" s="65"/>
      <c r="R79" s="65"/>
      <c r="V79" s="66"/>
      <c r="W79" s="66"/>
      <c r="Y79" s="65"/>
    </row>
    <row r="80" spans="1:25" x14ac:dyDescent="0.25">
      <c r="A80"/>
      <c r="L80" s="65"/>
      <c r="N80" s="65"/>
      <c r="R80" s="65"/>
      <c r="V80" s="66"/>
      <c r="W80" s="66"/>
      <c r="Y80" s="65"/>
    </row>
    <row r="81" spans="1:25" x14ac:dyDescent="0.25">
      <c r="A81"/>
      <c r="L81" s="65"/>
      <c r="N81" s="65"/>
      <c r="R81" s="65"/>
      <c r="V81" s="66"/>
      <c r="W81" s="66"/>
      <c r="Y81" s="65"/>
    </row>
    <row r="82" spans="1:25" x14ac:dyDescent="0.25">
      <c r="A82"/>
      <c r="L82" s="65"/>
      <c r="N82" s="65"/>
      <c r="R82" s="65"/>
      <c r="V82" s="66"/>
      <c r="W82" s="66"/>
      <c r="Y82" s="65"/>
    </row>
    <row r="83" spans="1:25" x14ac:dyDescent="0.25">
      <c r="A83"/>
      <c r="L83" s="65"/>
      <c r="N83" s="65"/>
      <c r="R83" s="65"/>
      <c r="V83" s="66"/>
      <c r="W83" s="66"/>
      <c r="Y83" s="65"/>
    </row>
    <row r="84" spans="1:25" x14ac:dyDescent="0.25">
      <c r="A84"/>
      <c r="L84" s="65"/>
      <c r="N84" s="65"/>
      <c r="R84" s="65"/>
      <c r="V84" s="66"/>
      <c r="W84" s="66"/>
      <c r="Y84" s="65"/>
    </row>
    <row r="85" spans="1:25" x14ac:dyDescent="0.25">
      <c r="A85"/>
      <c r="L85" s="65"/>
      <c r="N85" s="65"/>
      <c r="R85" s="65"/>
      <c r="V85" s="66"/>
      <c r="W85" s="66"/>
      <c r="Y85" s="65"/>
    </row>
    <row r="86" spans="1:25" x14ac:dyDescent="0.25">
      <c r="A86"/>
      <c r="L86" s="65"/>
      <c r="N86" s="65"/>
      <c r="R86" s="65"/>
      <c r="V86" s="66"/>
      <c r="W86" s="66"/>
      <c r="Y86" s="65"/>
    </row>
    <row r="87" spans="1:25" x14ac:dyDescent="0.25">
      <c r="A87"/>
    </row>
    <row r="88" spans="1:25" x14ac:dyDescent="0.25">
      <c r="A88"/>
    </row>
    <row r="89" spans="1:25" x14ac:dyDescent="0.25">
      <c r="A89"/>
    </row>
    <row r="90" spans="1:25" x14ac:dyDescent="0.25">
      <c r="A90"/>
    </row>
    <row r="91" spans="1:25" x14ac:dyDescent="0.25">
      <c r="A91"/>
    </row>
    <row r="92" spans="1:25" x14ac:dyDescent="0.25">
      <c r="A92"/>
    </row>
    <row r="93" spans="1:25" x14ac:dyDescent="0.25">
      <c r="A93"/>
    </row>
    <row r="94" spans="1:25" x14ac:dyDescent="0.25">
      <c r="A94"/>
    </row>
    <row r="95" spans="1:25" x14ac:dyDescent="0.25">
      <c r="A95"/>
    </row>
    <row r="96" spans="1:25"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sheetData>
  <mergeCells count="1">
    <mergeCell ref="A1:H1"/>
  </mergeCells>
  <pageMargins left="0.7" right="0.7" top="0.75" bottom="0.75" header="0.3" footer="0.3"/>
  <pageSetup scale="7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sqref="A1:H1"/>
    </sheetView>
  </sheetViews>
  <sheetFormatPr defaultRowHeight="15" x14ac:dyDescent="0.25"/>
  <cols>
    <col min="2" max="2" width="40.28515625" bestFit="1" customWidth="1"/>
    <col min="3" max="3" width="11.5703125" bestFit="1" customWidth="1"/>
    <col min="6" max="6" width="25.7109375" style="14" customWidth="1"/>
    <col min="7" max="7" width="14.42578125" style="69" bestFit="1" customWidth="1"/>
    <col min="8" max="8" width="12.7109375" customWidth="1"/>
  </cols>
  <sheetData>
    <row r="1" spans="1:8" ht="15.75" x14ac:dyDescent="0.25">
      <c r="A1" s="103" t="s">
        <v>620</v>
      </c>
      <c r="B1" s="103"/>
      <c r="C1" s="103"/>
      <c r="D1" s="103"/>
      <c r="E1" s="103"/>
      <c r="F1" s="103"/>
      <c r="G1" s="103"/>
      <c r="H1" s="103"/>
    </row>
    <row r="2" spans="1:8" s="71" customFormat="1" ht="29.25" x14ac:dyDescent="0.25">
      <c r="A2" s="22" t="s">
        <v>592</v>
      </c>
      <c r="B2" s="22" t="s">
        <v>593</v>
      </c>
      <c r="C2" s="22" t="s">
        <v>102</v>
      </c>
      <c r="D2" s="22" t="s">
        <v>103</v>
      </c>
      <c r="E2" s="22" t="s">
        <v>104</v>
      </c>
      <c r="F2" s="22" t="s">
        <v>105</v>
      </c>
      <c r="G2" s="72" t="s">
        <v>594</v>
      </c>
      <c r="H2" s="22" t="s">
        <v>595</v>
      </c>
    </row>
    <row r="3" spans="1:8" x14ac:dyDescent="0.25">
      <c r="A3" s="31">
        <v>118500</v>
      </c>
      <c r="B3" s="31" t="s">
        <v>601</v>
      </c>
      <c r="C3" s="31" t="s">
        <v>602</v>
      </c>
      <c r="D3" s="31" t="s">
        <v>19</v>
      </c>
      <c r="E3" s="31" t="s">
        <v>14</v>
      </c>
      <c r="F3" s="73" t="s">
        <v>489</v>
      </c>
      <c r="G3" s="74">
        <v>56000</v>
      </c>
      <c r="H3" s="44">
        <v>43493</v>
      </c>
    </row>
    <row r="4" spans="1:8" x14ac:dyDescent="0.25">
      <c r="A4" s="31">
        <v>171700</v>
      </c>
      <c r="B4" s="31" t="s">
        <v>605</v>
      </c>
      <c r="C4" s="31" t="s">
        <v>606</v>
      </c>
      <c r="D4" s="31" t="s">
        <v>26</v>
      </c>
      <c r="E4" s="31" t="s">
        <v>11</v>
      </c>
      <c r="F4" s="73" t="s">
        <v>25</v>
      </c>
      <c r="G4" s="74">
        <v>2500</v>
      </c>
      <c r="H4" s="44">
        <v>43377</v>
      </c>
    </row>
    <row r="5" spans="1:8" ht="30" x14ac:dyDescent="0.25">
      <c r="A5" s="31">
        <v>229000</v>
      </c>
      <c r="B5" s="31" t="s">
        <v>613</v>
      </c>
      <c r="C5" s="31" t="s">
        <v>614</v>
      </c>
      <c r="D5" s="31" t="s">
        <v>130</v>
      </c>
      <c r="E5" s="31" t="s">
        <v>14</v>
      </c>
      <c r="F5" s="73" t="s">
        <v>615</v>
      </c>
      <c r="G5" s="74">
        <v>4500000</v>
      </c>
      <c r="H5" s="44">
        <v>43711</v>
      </c>
    </row>
    <row r="6" spans="1:8" x14ac:dyDescent="0.25">
      <c r="A6" s="31">
        <v>253600</v>
      </c>
      <c r="B6" s="31" t="s">
        <v>607</v>
      </c>
      <c r="C6" s="31" t="s">
        <v>608</v>
      </c>
      <c r="D6" s="31" t="s">
        <v>609</v>
      </c>
      <c r="E6" s="31" t="s">
        <v>14</v>
      </c>
      <c r="F6" s="73" t="s">
        <v>57</v>
      </c>
      <c r="G6" s="74">
        <v>395000</v>
      </c>
      <c r="H6" s="44">
        <v>43476</v>
      </c>
    </row>
    <row r="7" spans="1:8" x14ac:dyDescent="0.25">
      <c r="A7" s="31">
        <v>398500</v>
      </c>
      <c r="B7" s="31" t="s">
        <v>618</v>
      </c>
      <c r="C7" s="31" t="s">
        <v>276</v>
      </c>
      <c r="D7" s="31" t="s">
        <v>112</v>
      </c>
      <c r="E7" s="31" t="s">
        <v>11</v>
      </c>
      <c r="F7" s="73" t="s">
        <v>231</v>
      </c>
      <c r="G7" s="74">
        <v>303502</v>
      </c>
      <c r="H7" s="44">
        <v>43613</v>
      </c>
    </row>
    <row r="8" spans="1:8" x14ac:dyDescent="0.25">
      <c r="A8" s="31">
        <v>336600</v>
      </c>
      <c r="B8" s="31" t="s">
        <v>596</v>
      </c>
      <c r="C8" s="31" t="s">
        <v>597</v>
      </c>
      <c r="D8" s="31" t="s">
        <v>180</v>
      </c>
      <c r="E8" s="31" t="s">
        <v>11</v>
      </c>
      <c r="F8" s="73" t="s">
        <v>57</v>
      </c>
      <c r="G8" s="74">
        <v>51000</v>
      </c>
      <c r="H8" s="44">
        <v>43396</v>
      </c>
    </row>
    <row r="9" spans="1:8" ht="30" x14ac:dyDescent="0.25">
      <c r="A9" s="31">
        <v>2166400</v>
      </c>
      <c r="B9" s="31" t="s">
        <v>612</v>
      </c>
      <c r="C9" s="31" t="s">
        <v>54</v>
      </c>
      <c r="D9" s="31" t="s">
        <v>20</v>
      </c>
      <c r="E9" s="31" t="s">
        <v>9</v>
      </c>
      <c r="F9" s="73" t="s">
        <v>310</v>
      </c>
      <c r="G9" s="74">
        <v>286585</v>
      </c>
      <c r="H9" s="44">
        <v>43657</v>
      </c>
    </row>
    <row r="10" spans="1:8" x14ac:dyDescent="0.25">
      <c r="A10" s="31">
        <v>344100</v>
      </c>
      <c r="B10" s="31" t="s">
        <v>616</v>
      </c>
      <c r="C10" s="31" t="s">
        <v>617</v>
      </c>
      <c r="D10" s="31" t="s">
        <v>13</v>
      </c>
      <c r="E10" s="31" t="s">
        <v>11</v>
      </c>
      <c r="F10" s="73" t="s">
        <v>231</v>
      </c>
      <c r="G10" s="74">
        <v>2500000</v>
      </c>
      <c r="H10" s="44">
        <v>43448</v>
      </c>
    </row>
    <row r="11" spans="1:8" x14ac:dyDescent="0.25">
      <c r="A11" s="31">
        <v>4154800</v>
      </c>
      <c r="B11" s="31" t="s">
        <v>603</v>
      </c>
      <c r="C11" s="31" t="s">
        <v>604</v>
      </c>
      <c r="D11" s="31" t="s">
        <v>12</v>
      </c>
      <c r="E11" s="31" t="s">
        <v>9</v>
      </c>
      <c r="F11" s="73" t="s">
        <v>25</v>
      </c>
      <c r="G11" s="74">
        <v>6000</v>
      </c>
      <c r="H11" s="44">
        <v>43377</v>
      </c>
    </row>
    <row r="12" spans="1:8" x14ac:dyDescent="0.25">
      <c r="A12" s="31">
        <v>3612400</v>
      </c>
      <c r="B12" s="31" t="s">
        <v>268</v>
      </c>
      <c r="C12" s="31" t="s">
        <v>269</v>
      </c>
      <c r="D12" s="31" t="s">
        <v>12</v>
      </c>
      <c r="E12" s="31" t="s">
        <v>11</v>
      </c>
      <c r="F12" s="73" t="s">
        <v>489</v>
      </c>
      <c r="G12" s="74">
        <v>35000</v>
      </c>
      <c r="H12" s="44">
        <v>43396</v>
      </c>
    </row>
    <row r="13" spans="1:8" x14ac:dyDescent="0.25">
      <c r="A13" s="31">
        <v>378000</v>
      </c>
      <c r="B13" s="31" t="s">
        <v>610</v>
      </c>
      <c r="C13" s="31" t="s">
        <v>611</v>
      </c>
      <c r="D13" s="31" t="s">
        <v>158</v>
      </c>
      <c r="E13" s="31" t="s">
        <v>14</v>
      </c>
      <c r="F13" s="73" t="s">
        <v>489</v>
      </c>
      <c r="G13" s="74">
        <v>250000</v>
      </c>
      <c r="H13" s="44">
        <v>43440</v>
      </c>
    </row>
    <row r="14" spans="1:8" x14ac:dyDescent="0.25">
      <c r="A14" s="31">
        <v>384200</v>
      </c>
      <c r="B14" s="31" t="s">
        <v>479</v>
      </c>
      <c r="C14" s="31" t="s">
        <v>598</v>
      </c>
      <c r="D14" s="31" t="s">
        <v>504</v>
      </c>
      <c r="E14" s="31" t="s">
        <v>11</v>
      </c>
      <c r="F14" s="73" t="s">
        <v>489</v>
      </c>
      <c r="G14" s="74">
        <v>68000</v>
      </c>
      <c r="H14" s="44">
        <v>43412</v>
      </c>
    </row>
    <row r="15" spans="1:8" x14ac:dyDescent="0.25">
      <c r="A15" s="31">
        <v>381100</v>
      </c>
      <c r="B15" s="31" t="s">
        <v>599</v>
      </c>
      <c r="C15" s="31" t="s">
        <v>600</v>
      </c>
      <c r="D15" s="31" t="s">
        <v>197</v>
      </c>
      <c r="E15" s="31" t="s">
        <v>11</v>
      </c>
      <c r="F15" s="73" t="s">
        <v>489</v>
      </c>
      <c r="G15" s="74">
        <v>36000</v>
      </c>
      <c r="H15" s="44">
        <v>43454</v>
      </c>
    </row>
  </sheetData>
  <mergeCells count="1">
    <mergeCell ref="A1:H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DC98171ABF41439B409D0A1DDFBE39" ma:contentTypeVersion="13" ma:contentTypeDescription="Create a new document." ma:contentTypeScope="" ma:versionID="47927a658e8f25e7b950f51338b5c7ee">
  <xsd:schema xmlns:xsd="http://www.w3.org/2001/XMLSchema" xmlns:xs="http://www.w3.org/2001/XMLSchema" xmlns:p="http://schemas.microsoft.com/office/2006/metadata/properties" xmlns:ns3="f87c7b8b-c0e7-4b77-a067-2c707fd1239f" xmlns:ns4="02e41e38-1731-4866-b09a-6257d8bc047f" targetNamespace="http://schemas.microsoft.com/office/2006/metadata/properties" ma:root="true" ma:fieldsID="1eaa544cb6d592cc0dbef164f1c84fbc" ns3:_="" ns4:_="">
    <xsd:import namespace="f87c7b8b-c0e7-4b77-a067-2c707fd1239f"/>
    <xsd:import namespace="02e41e38-1731-4866-b09a-6257d8bc047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AutoKeyPoints" minOccurs="0"/>
                <xsd:element ref="ns4:MediaServiceKeyPoints"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c7b8b-c0e7-4b77-a067-2c707fd1239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e41e38-1731-4866-b09a-6257d8bc047f"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32C31E-E289-4EFE-82C1-56D7A34D0D9D}">
  <ds:schemaRefs>
    <ds:schemaRef ds:uri="http://schemas.microsoft.com/sharepoint/v3/contenttype/forms"/>
  </ds:schemaRefs>
</ds:datastoreItem>
</file>

<file path=customXml/itemProps2.xml><?xml version="1.0" encoding="utf-8"?>
<ds:datastoreItem xmlns:ds="http://schemas.openxmlformats.org/officeDocument/2006/customXml" ds:itemID="{B334F9BF-DEC4-4270-8882-633F38B7F9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c7b8b-c0e7-4b77-a067-2c707fd1239f"/>
    <ds:schemaRef ds:uri="02e41e38-1731-4866-b09a-6257d8bc04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37FFCC-F211-49A6-8C58-B2C1A406879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Definitions</vt:lpstr>
      <vt:lpstr>FY10</vt:lpstr>
      <vt:lpstr>FY11</vt:lpstr>
      <vt:lpstr>FY12</vt:lpstr>
      <vt:lpstr>FY13</vt:lpstr>
      <vt:lpstr>FY14</vt:lpstr>
      <vt:lpstr>FY15</vt:lpstr>
      <vt:lpstr>FY16</vt:lpstr>
      <vt:lpstr>FY17</vt:lpstr>
      <vt:lpstr>FY18</vt:lpstr>
      <vt:lpstr>FY 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Hochhalter, Kathleen</dc:creator>
  <cp:lastModifiedBy>cloudconvert_19</cp:lastModifiedBy>
  <cp:lastPrinted>2019-06-11T16:03:01Z</cp:lastPrinted>
  <dcterms:created xsi:type="dcterms:W3CDTF">2015-09-28T20:20:27Z</dcterms:created>
  <dcterms:modified xsi:type="dcterms:W3CDTF">2025-10-29T21:36:17Z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0x01010057DC98171ABF41439B409D0A1DDFBE39</vt:lpwstr>
  </property>
</Properties>
</file>